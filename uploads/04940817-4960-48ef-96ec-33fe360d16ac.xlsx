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b45fa34dc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ada787fb8bc48de"/>
    <x:sheet xmlns:r="http://schemas.openxmlformats.org/officeDocument/2006/relationships" name="Metadata" sheetId="2" r:id="R38636aea91444764"/>
    <x:sheet xmlns:r="http://schemas.openxmlformats.org/officeDocument/2006/relationships" name="GL_Long" sheetId="3" r:id="Rb044cf2a73094913"/>
    <x:sheet xmlns:r="http://schemas.openxmlformats.org/officeDocument/2006/relationships" name="PnL_Wide_Monthly" sheetId="4" r:id="R9b7c174396bf4368"/>
    <x:sheet xmlns:r="http://schemas.openxmlformats.org/officeDocument/2006/relationships" name="BS_MergedHeaders" sheetId="5" r:id="Rd701bf0e9ee94c22"/>
    <x:sheet xmlns:r="http://schemas.openxmlformats.org/officeDocument/2006/relationships" name="Attribute_History" sheetId="6" r:id="Rc0f67385ca8d43f4"/>
    <x:sheet xmlns:r="http://schemas.openxmlformats.org/officeDocument/2006/relationships" name="Template_Palette" sheetId="7" r:id="R248f398c8c9c4301"/>
    <x:sheet xmlns:r="http://schemas.openxmlformats.org/officeDocument/2006/relationships" name="Expected_Current" sheetId="8" r:id="R1cf114078b834812"/>
    <x:sheet xmlns:r="http://schemas.openxmlformats.org/officeDocument/2006/relationships" name="Dirty_Edge_Cases" sheetId="9" r:id="R206186a680da4305"/>
    <x:sheet xmlns:r="http://schemas.openxmlformats.org/officeDocument/2006/relationships" name="Dashboard" sheetId="10" r:id="Raf9e4c2398d4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#,##0;(#,##0);-"/>
    <x:numFmt numFmtId="203" formatCode="0.0%"/>
  </x:numFmts>
  <x:fonts count="4">
    <x:font>
      <x:sz val="11"/>
      <x:name val="Carlito"/>
    </x:font>
    <x:font>
      <x:sz val="10"/>
      <x:color rgb="1F2937"/>
      <x:name val="Aptos"/>
    </x:font>
    <x:font>
      <x:b/>
      <x:sz val="16"/>
      <x:color rgb="17324D"/>
      <x:name val="Aptos"/>
    </x:font>
    <x:font>
      <x:b/>
      <x:sz val="11"/>
      <x:color rgb="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DDEB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1" fontId="2" fillId="2" borderId="0" xfId="0" applyNumberFormat="1" applyFont="1" applyFill="1" applyBorder="1" applyAlignment="1">
      <x:alignment horizontal="left" vertical="center" wrapText="1"/>
    </x:xf>
    <x:xf numFmtId="201" fontId="2" fillId="2" borderId="1" xfId="0" applyNumberFormat="1" applyFont="1" applyFill="1" applyBorder="1" applyAlignment="1">
      <x:alignment horizontal="left" vertical="center" wrapText="1"/>
    </x:xf>
    <x:xf numFmtId="202" fontId="2" fillId="2" borderId="0" xfId="0" applyNumberFormat="1" applyFont="1" applyFill="1" applyBorder="1" applyAlignment="1">
      <x:alignment horizontal="left" vertical="center" wrapText="1"/>
    </x:xf>
    <x:xf numFmtId="202" fontId="2" fillId="2" borderId="1" xfId="0" applyNumberFormat="1" applyFont="1" applyFill="1" applyBorder="1" applyAlignment="1">
      <x:alignment horizontal="left" vertical="center" wrapText="1"/>
    </x:xf>
    <x:xf numFmtId="202" fontId="0" fillId="0" borderId="0" xfId="0" applyNumberFormat="1" applyFont="1" applyFill="1" applyBorder="1" applyAlignment="1">
      <x:alignment vertical="top" wrapText="0"/>
    </x:xf>
    <x:xf numFmtId="202" fontId="0" fillId="0" borderId="1" xfId="0" applyNumberFormat="1" applyFont="1" applyFill="1" applyBorder="1" applyAlignment="1">
      <x:alignment vertical="top"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3" fillId="5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/>
    <x:xf numFmtId="202" fontId="3" fillId="5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3" fillId="5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/>
    <x:xf numFmtId="203" fontId="3" fillId="5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top" wrapText="0"/>
    </x:xf>
    <x:xf numFmtId="0" fontId="0" fillId="5" borderId="1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9C0006"/>
      </x:font>
      <x:fill>
        <x:patternFill patternType="solid">
          <x:bgColor rgb="FCE4D6"/>
        </x:patternFill>
      </x:fill>
    </x:dxf>
    <x:dxf>
      <x:font>
        <x:color rgb="9C0006"/>
      </x:font>
    </x:dxf>
    <x:dxf>
      <x:font>
        <x:color rgb="9C0006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7d176fabf4ee7" /><Relationship Type="http://schemas.openxmlformats.org/officeDocument/2006/relationships/theme" Target="/xl/theme/theme1.xml" Id="R012e4e8a0e8b4f63" /><Relationship Type="http://schemas.microsoft.com/office/2022/11/relationships/FeaturePropertyBag" Target="/xl/featurePropertyBag/featurePropertyBag.xml" Id="R3a2f5b276c1e49de" /><Relationship Type="http://schemas.openxmlformats.org/officeDocument/2006/relationships/sharedStrings" Target="/xl/sharedStrings.xml" Id="R8a7aa416aa104731" /><Relationship Type="http://schemas.openxmlformats.org/officeDocument/2006/relationships/worksheet" Target="/xl/worksheets/sheet1.xml" Id="R5ada787fb8bc48de" /><Relationship Type="http://schemas.openxmlformats.org/officeDocument/2006/relationships/worksheet" Target="/xl/worksheets/sheet2.xml" Id="R38636aea91444764" /><Relationship Type="http://schemas.openxmlformats.org/officeDocument/2006/relationships/worksheet" Target="/xl/worksheets/sheet3.xml" Id="Rb044cf2a73094913" /><Relationship Type="http://schemas.openxmlformats.org/officeDocument/2006/relationships/worksheet" Target="/xl/worksheets/sheet4.xml" Id="R9b7c174396bf4368" /><Relationship Type="http://schemas.openxmlformats.org/officeDocument/2006/relationships/worksheet" Target="/xl/worksheets/sheet5.xml" Id="Rd701bf0e9ee94c22" /><Relationship Type="http://schemas.openxmlformats.org/officeDocument/2006/relationships/worksheet" Target="/xl/worksheets/sheet6.xml" Id="Rc0f67385ca8d43f4" /><Relationship Type="http://schemas.openxmlformats.org/officeDocument/2006/relationships/worksheet" Target="/xl/worksheets/sheet7.xml" Id="R248f398c8c9c4301" /><Relationship Type="http://schemas.openxmlformats.org/officeDocument/2006/relationships/worksheet" Target="/xl/worksheets/sheet8.xml" Id="R1cf114078b834812" /><Relationship Type="http://schemas.openxmlformats.org/officeDocument/2006/relationships/worksheet" Target="/xl/worksheets/sheet9.xml" Id="R206186a680da4305" /><Relationship Type="http://schemas.openxmlformats.org/officeDocument/2006/relationships/worksheet" Target="/xl/worksheets/sheet10.xml" Id="Raf9e4c2398d447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6" hidden="0" customWidth="1"/>
  </x:cols>
  <x:sheetData>
    <x:row r="1" ht="30" customHeight="1">
      <x:c r="A1" s="10" t="str">
        <x:v>Moliyaviy Hisobot Tuzuvchi — MVP Test Workbook</x:v>
      </x:c>
      <x:c r="B1" s="10"/>
      <x:c r="C1" s="10"/>
      <x:c r="D1" s="10"/>
      <x:c r="E1" s="10"/>
      <x:c r="F1" s="10"/>
      <x:c r="G1" s="10"/>
    </x:row>
    <x:row r="4" ht="22" customHeight="1">
      <x:c r="A4" s="20" t="str">
        <x:v>Area</x:v>
      </x:c>
      <x:c r="B4" s="20" t="str">
        <x:v>Description</x:v>
      </x:c>
    </x:row>
    <x:row r="5" ht="36" customHeight="1">
      <x:c r="A5" s="27" t="str">
        <x:v>Purpose</x:v>
      </x:c>
      <x:c r="B5" s="27" t="str">
        <x:v>This synthetic workbook is designed to test Excel upload, ETL parsing, attribute versioning, template palette mapping, and PDF report-generation inputs.</x:v>
      </x:c>
    </x:row>
    <x:row r="6" ht="36" customHeight="1">
      <x:c r="A6" s="27" t="str">
        <x:v>Scenario</x:v>
      </x:c>
      <x:c r="B6" s="27" t="str">
        <x:v>Company: Demo Moliya MChJ; financial year 2025; base currency UZS; amounts are mostly in UZS million.</x:v>
      </x:c>
    </x:row>
    <x:row r="7" ht="36" customHeight="1">
      <x:c r="A7" s="27" t="str">
        <x:v>ETL challenge 1</x:v>
      </x:c>
      <x:c r="B7" s="27" t="str">
        <x:v>GL_Long is a clean normalized ledger-style sheet for baseline ingestion.</x:v>
      </x:c>
    </x:row>
    <x:row r="8" ht="36" customHeight="1">
      <x:c r="A8" s="27" t="str">
        <x:v>ETL challenge 2</x:v>
      </x:c>
      <x:c r="B8" s="27" t="str">
        <x:v>PnL_Wide_Monthly is a wide monthly statement with formulas and derived financial attributes.</x:v>
      </x:c>
    </x:row>
    <x:row r="9" ht="36" customHeight="1">
      <x:c r="A9" s="27" t="str">
        <x:v>ETL challenge 3</x:v>
      </x:c>
      <x:c r="B9" s="27" t="str">
        <x:v>BS_MergedHeaders uses merged section headers and calculated rows.</x:v>
      </x:c>
    </x:row>
    <x:row r="10" ht="36" customHeight="1">
      <x:c r="A10" s="27" t="str">
        <x:v>Versioning test</x:v>
      </x:c>
      <x:c r="B10" s="27" t="str">
        <x:v>Attribute_History contains repeated attribute_code + period records with version_no, effective dates, and is_current flags.</x:v>
      </x:c>
    </x:row>
    <x:row r="11" ht="36" customHeight="1">
      <x:c r="A11" s="27" t="str">
        <x:v>Template test</x:v>
      </x:c>
      <x:c r="B11" s="27" t="str">
        <x:v>Template_Palette contains Jasper/BIRT-style placeholders that can be placed into report templates.</x:v>
      </x:c>
    </x:row>
    <x:row r="12" ht="36" customHeight="1">
      <x:c r="A12" s="27" t="str">
        <x:v>Dirty data test</x:v>
      </x:c>
      <x:c r="B12" s="27" t="str">
        <x:v>Dirty_Edge_Cases contains mixed formats, text numbers, blanks, duplicate labels, percentage strings, negative parentheses, and formula cells.</x:v>
      </x:c>
    </x:row>
    <x:row r="13">
      <x:c r="A13" s="27" t="str">
        <x:v>Expected rule</x:v>
      </x:c>
      <x:c r="B13" s="27" t="str">
        <x:v>When generating a report, the latest current version of each financial attribute should be used.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52" hidden="0" customWidth="1"/>
    <x:col min="4" max="4" width="16" hidden="0" customWidth="1"/>
    <x:col min="5" max="5" width="16" hidden="0" customWidth="1"/>
  </x:cols>
  <x:sheetData>
    <x:row r="1" ht="30" customHeight="1">
      <x:c r="A1" s="10" t="str">
        <x:v>Upload Metadata / Shaxsiy Kabinet Ma'lumotlari</x:v>
      </x:c>
      <x:c r="B1" s="10"/>
      <x:c r="C1" s="10"/>
      <x:c r="D1" s="10"/>
      <x:c r="E1" s="10"/>
    </x:row>
    <x:row r="4" ht="22" customHeight="1">
      <x:c r="A4" s="20" t="str">
        <x:v>Key</x:v>
      </x:c>
      <x:c r="B4" s="20" t="str">
        <x:v>Value</x:v>
      </x:c>
      <x:c r="C4" s="20" t="str">
        <x:v>Description</x:v>
      </x:c>
      <x:c r="D4" s="20" t="str">
        <x:v>Data Type</x:v>
      </x:c>
      <x:c r="E4" s="20" t="str">
        <x:v>Validation</x:v>
      </x:c>
    </x:row>
    <x:row r="5">
      <x:c r="A5" s="27" t="str">
        <x:v>upload_batch_id</x:v>
      </x:c>
      <x:c r="B5" s="27" t="str">
        <x:v>UPL-2026-04-25-001</x:v>
      </x:c>
      <x:c r="C5" s="27" t="str">
        <x:v>Unique upload identifier</x:v>
      </x:c>
      <x:c r="D5" s="27" t="str">
        <x:v>string</x:v>
      </x:c>
      <x:c r="E5" s="27" t="str">
        <x:v>Required</x:v>
      </x:c>
    </x:row>
    <x:row r="6">
      <x:c r="A6" s="27" t="str">
        <x:v>uploaded_by</x:v>
      </x:c>
      <x:c r="B6" s="27" t="str">
        <x:v>finance.manager@demo.uz</x:v>
      </x:c>
      <x:c r="C6" s="27" t="str">
        <x:v>Cabinet user login</x:v>
      </x:c>
      <x:c r="D6" s="27" t="str">
        <x:v>string</x:v>
      </x:c>
      <x:c r="E6" s="27" t="str">
        <x:v>Required</x:v>
      </x:c>
    </x:row>
    <x:row r="7">
      <x:c r="A7" s="27" t="str">
        <x:v>company_name</x:v>
      </x:c>
      <x:c r="B7" s="27" t="str">
        <x:v>Demo Moliya MChJ</x:v>
      </x:c>
      <x:c r="C7" s="27" t="str">
        <x:v>Legal entity name</x:v>
      </x:c>
      <x:c r="D7" s="27" t="str">
        <x:v>string</x:v>
      </x:c>
      <x:c r="E7" s="27" t="str">
        <x:v>Required</x:v>
      </x:c>
    </x:row>
    <x:row r="8">
      <x:c r="A8" s="27" t="str">
        <x:v>tax_id</x:v>
      </x:c>
      <x:c r="B8" s="27" t="str">
        <x:v>302-456-789</x:v>
      </x:c>
      <x:c r="C8" s="27" t="str">
        <x:v>Synthetic STIR/TIN</x:v>
      </x:c>
      <x:c r="D8" s="27" t="str">
        <x:v>string</x:v>
      </x:c>
      <x:c r="E8" s="27" t="str">
        <x:v>Optional</x:v>
      </x:c>
    </x:row>
    <x:row r="9">
      <x:c r="A9" s="27" t="str">
        <x:v>financial_year</x:v>
      </x:c>
      <x:c r="B9" s="27" t="n">
        <x:v>2025</x:v>
      </x:c>
      <x:c r="C9" s="27" t="str">
        <x:v>Reporting financial year</x:v>
      </x:c>
      <x:c r="D9" s="27" t="str">
        <x:v>integer</x:v>
      </x:c>
      <x:c r="E9" s="27" t="str">
        <x:v>Required</x:v>
      </x:c>
    </x:row>
    <x:row r="10">
      <x:c r="A10" s="27" t="str">
        <x:v>reporting_period</x:v>
      </x:c>
      <x:c r="B10" s="27" t="str">
        <x:v>FY-2025</x:v>
      </x:c>
      <x:c r="C10" s="27" t="str">
        <x:v>Period for report generation</x:v>
      </x:c>
      <x:c r="D10" s="27" t="str">
        <x:v>string</x:v>
      </x:c>
      <x:c r="E10" s="27" t="str">
        <x:v>Required</x:v>
      </x:c>
    </x:row>
    <x:row r="11">
      <x:c r="A11" s="27" t="str">
        <x:v>base_currency</x:v>
      </x:c>
      <x:c r="B11" s="27" t="str">
        <x:v>UZS</x:v>
      </x:c>
      <x:c r="C11" s="27" t="str">
        <x:v>Base currency</x:v>
      </x:c>
      <x:c r="D11" s="27" t="str">
        <x:v>enum</x:v>
      </x:c>
      <x:c r="E11" s="27" t="str">
        <x:v>Required</x:v>
      </x:c>
    </x:row>
    <x:row r="12">
      <x:c r="A12" s="27" t="str">
        <x:v>amount_unit</x:v>
      </x:c>
      <x:c r="B12" s="27" t="str">
        <x:v>million</x:v>
      </x:c>
      <x:c r="C12" s="27" t="str">
        <x:v>Most values are in UZS million</x:v>
      </x:c>
      <x:c r="D12" s="27" t="str">
        <x:v>string</x:v>
      </x:c>
      <x:c r="E12" s="27" t="str">
        <x:v>Required</x:v>
      </x:c>
    </x:row>
    <x:row r="13">
      <x:c r="A13" s="27" t="str">
        <x:v>source_system</x:v>
      </x:c>
      <x:c r="B13" s="27" t="str">
        <x:v>Excel manual upload</x:v>
      </x:c>
      <x:c r="C13" s="27" t="str">
        <x:v>Original data source</x:v>
      </x:c>
      <x:c r="D13" s="27" t="str">
        <x:v>string</x:v>
      </x:c>
      <x:c r="E13" s="27" t="str">
        <x:v>Required</x:v>
      </x:c>
    </x:row>
    <x:row r="14">
      <x:c r="A14" s="27" t="str">
        <x:v>schema_hint</x:v>
      </x:c>
      <x:c r="B14" s="30" t="str">
        <x:v>Mixed: long, wide, merged sections, dirty cases</x:v>
      </x:c>
      <x:c r="C14" s="27" t="str">
        <x:v>Expected parser flexibility</x:v>
      </x:c>
      <x:c r="D14" s="27" t="str">
        <x:v>string</x:v>
      </x:c>
      <x:c r="E14" s="27" t="str">
        <x:v>Optional</x:v>
      </x:c>
    </x:row>
    <x:row r="15">
      <x:c r="A15" s="27" t="str">
        <x:v>created_at</x:v>
      </x:c>
      <x:c r="B15" s="27" t="n">
        <x:v>46137.395833333336</x:v>
      </x:c>
      <x:c r="C15" s="27" t="str">
        <x:v>Synthetic upload timestamp</x:v>
      </x:c>
      <x:c r="D15" s="27" t="str">
        <x:v>datetime</x:v>
      </x:c>
      <x:c r="E15" s="27" t="str">
        <x:v>Required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16" hidden="0" customWidth="1"/>
    <x:col min="5" max="5" width="14" hidden="0" customWidth="1"/>
    <x:col min="6" max="6" width="14" hidden="0" customWidth="1"/>
    <x:col min="7" max="7" width="28" hidden="0" customWidth="1"/>
    <x:col min="8" max="8" width="20" hidden="0" customWidth="1"/>
    <x:col min="9" max="9" width="8" hidden="0" customWidth="1"/>
    <x:col min="10" max="10" width="14" hidden="0" customWidth="1"/>
    <x:col min="11" max="11" width="10" hidden="0" customWidth="1"/>
    <x:col min="12" max="12" width="24" hidden="0" customWidth="1"/>
    <x:col min="13" max="13" width="12" hidden="0" customWidth="1"/>
    <x:col min="14" max="14" width="28" hidden="0" customWidth="1"/>
  </x:cols>
  <x:sheetData>
    <x:row r="1" ht="30" customHeight="1">
      <x:c r="A1" s="32" t="str">
        <x:v>General Ledger Long Format — Clean ETL Baseline</x:v>
      </x:c>
      <x:c r="B1" s="10"/>
      <x:c r="C1" s="10"/>
      <x:c r="D1" s="10"/>
      <x:c r="E1" s="10"/>
      <x:c r="F1" s="10"/>
      <x:c r="G1" s="10"/>
      <x:c r="H1" s="10"/>
      <x:c r="I1" s="10"/>
      <x:c r="J1" s="34"/>
      <x:c r="K1" s="10"/>
      <x:c r="L1" s="10"/>
      <x:c r="M1" s="10"/>
      <x:c r="N1" s="10"/>
    </x:row>
    <x:row r="4" ht="22" customHeight="1">
      <x:c r="A4" s="20" t="str">
        <x:v>transaction_date</x:v>
      </x:c>
      <x:c r="B4" s="20" t="str">
        <x:v>period</x:v>
      </x:c>
      <x:c r="C4" s="20" t="str">
        <x:v>entity</x:v>
      </x:c>
      <x:c r="D4" s="20" t="str">
        <x:v>department</x:v>
      </x:c>
      <x:c r="E4" s="20" t="str">
        <x:v>cost_center</x:v>
      </x:c>
      <x:c r="F4" s="20" t="str">
        <x:v>account_code</x:v>
      </x:c>
      <x:c r="G4" s="20" t="str">
        <x:v>account_name</x:v>
      </x:c>
      <x:c r="H4" s="20" t="str">
        <x:v>attribute_code</x:v>
      </x:c>
      <x:c r="I4" s="20" t="str">
        <x:v>dr_cr</x:v>
      </x:c>
      <x:c r="J4" s="20" t="str">
        <x:v>amount</x:v>
      </x:c>
      <x:c r="K4" s="20" t="str">
        <x:v>currency</x:v>
      </x:c>
      <x:c r="L4" s="20" t="str">
        <x:v>upload_batch_id</x:v>
      </x:c>
      <x:c r="M4" s="20" t="str">
        <x:v>source_row_no</x:v>
      </x:c>
      <x:c r="N4" s="20" t="str">
        <x:v>row_hash</x:v>
      </x:c>
    </x:row>
    <x:row r="5">
      <x:c r="A5" s="27" t="n">
        <x:v>45685</x:v>
      </x:c>
      <x:c r="B5" s="27" t="str">
        <x:v>2025-01</x:v>
      </x:c>
      <x:c r="C5" s="27" t="str">
        <x:v>Demo Moliya MChJ</x:v>
      </x:c>
      <x:c r="D5" s="27" t="str">
        <x:v>Sales</x:v>
      </x:c>
      <x:c r="E5" s="27" t="str">
        <x:v>SLS-01</x:v>
      </x:c>
      <x:c r="F5" s="27" t="str">
        <x:v>4000</x:v>
      </x:c>
      <x:c r="G5" s="27" t="str">
        <x:v>Mahalliy savdo tushumi</x:v>
      </x:c>
      <x:c r="H5" s="27" t="str">
        <x:v>REV_LOCAL</x:v>
      </x:c>
      <x:c r="I5" s="27" t="str">
        <x:v>Cr</x:v>
      </x:c>
      <x:c r="J5" s="27" t="n">
        <x:v>620</x:v>
      </x:c>
      <x:c r="K5" s="27" t="str">
        <x:v>UZS</x:v>
      </x:c>
      <x:c r="L5" s="27" t="str">
        <x:v>UPL-2026-04-25-001</x:v>
      </x:c>
      <x:c r="M5" s="27" t="n">
        <x:v>2</x:v>
      </x:c>
      <x:c r="N5" s="27" t="str">
        <x:v>hash-2025-01-4000-2</x:v>
      </x:c>
    </x:row>
    <x:row r="6">
      <x:c r="A6" s="27" t="n">
        <x:v>45685</x:v>
      </x:c>
      <x:c r="B6" s="27" t="str">
        <x:v>2025-01</x:v>
      </x:c>
      <x:c r="C6" s="27" t="str">
        <x:v>Demo Moliya MChJ</x:v>
      </x:c>
      <x:c r="D6" s="27" t="str">
        <x:v>Production</x:v>
      </x:c>
      <x:c r="E6" s="27" t="str">
        <x:v>PRD-01</x:v>
      </x:c>
      <x:c r="F6" s="27" t="str">
        <x:v>4010</x:v>
      </x:c>
      <x:c r="G6" s="27" t="str">
        <x:v>Eksport tushumi</x:v>
      </x:c>
      <x:c r="H6" s="27" t="str">
        <x:v>REV_EXPORT</x:v>
      </x:c>
      <x:c r="I6" s="27" t="str">
        <x:v>Cr</x:v>
      </x:c>
      <x:c r="J6" s="27" t="n">
        <x:v>417</x:v>
      </x:c>
      <x:c r="K6" s="27" t="str">
        <x:v>UZS</x:v>
      </x:c>
      <x:c r="L6" s="27" t="str">
        <x:v>UPL-2026-04-25-001</x:v>
      </x:c>
      <x:c r="M6" s="27" t="n">
        <x:v>3</x:v>
      </x:c>
      <x:c r="N6" s="27" t="str">
        <x:v>hash-2025-01-4010-3</x:v>
      </x:c>
    </x:row>
    <x:row r="7">
      <x:c r="A7" s="27" t="n">
        <x:v>45685</x:v>
      </x:c>
      <x:c r="B7" s="27" t="str">
        <x:v>2025-01</x:v>
      </x:c>
      <x:c r="C7" s="27" t="str">
        <x:v>Demo Moliya MChJ</x:v>
      </x:c>
      <x:c r="D7" s="27" t="str">
        <x:v>Admin</x:v>
      </x:c>
      <x:c r="E7" s="27" t="str">
        <x:v>ADM-01</x:v>
      </x:c>
      <x:c r="F7" s="27" t="str">
        <x:v>5000</x:v>
      </x:c>
      <x:c r="G7" s="27" t="str">
        <x:v>Xomashyo xarajati</x:v>
      </x:c>
      <x:c r="H7" s="27" t="str">
        <x:v>COGS_MATERIAL</x:v>
      </x:c>
      <x:c r="I7" s="27" t="str">
        <x:v>Dr</x:v>
      </x:c>
      <x:c r="J7" s="27" t="n">
        <x:v>-296</x:v>
      </x:c>
      <x:c r="K7" s="27" t="str">
        <x:v>UZS</x:v>
      </x:c>
      <x:c r="L7" s="27" t="str">
        <x:v>UPL-2026-04-25-001</x:v>
      </x:c>
      <x:c r="M7" s="27" t="n">
        <x:v>4</x:v>
      </x:c>
      <x:c r="N7" s="27" t="str">
        <x:v>hash-2025-01-5000-4</x:v>
      </x:c>
    </x:row>
    <x:row r="8">
      <x:c r="A8" s="27" t="n">
        <x:v>45685</x:v>
      </x:c>
      <x:c r="B8" s="27" t="str">
        <x:v>2025-01</x:v>
      </x:c>
      <x:c r="C8" s="27" t="str">
        <x:v>Demo Moliya MChJ</x:v>
      </x:c>
      <x:c r="D8" s="27" t="str">
        <x:v>Sales</x:v>
      </x:c>
      <x:c r="E8" s="27" t="str">
        <x:v>SLS-01</x:v>
      </x:c>
      <x:c r="F8" s="27" t="str">
        <x:v>5010</x:v>
      </x:c>
      <x:c r="G8" s="27" t="str">
        <x:v>Ish haqi tannarxi</x:v>
      </x:c>
      <x:c r="H8" s="27" t="str">
        <x:v>COGS_LABOR</x:v>
      </x:c>
      <x:c r="I8" s="27" t="str">
        <x:v>Dr</x:v>
      </x:c>
      <x:c r="J8" s="27" t="n">
        <x:v>-145</x:v>
      </x:c>
      <x:c r="K8" s="27" t="str">
        <x:v>UZS</x:v>
      </x:c>
      <x:c r="L8" s="27" t="str">
        <x:v>UPL-2026-04-25-001</x:v>
      </x:c>
      <x:c r="M8" s="27" t="n">
        <x:v>5</x:v>
      </x:c>
      <x:c r="N8" s="27" t="str">
        <x:v>hash-2025-01-5010-5</x:v>
      </x:c>
    </x:row>
    <x:row r="9">
      <x:c r="A9" s="27" t="n">
        <x:v>45685</x:v>
      </x:c>
      <x:c r="B9" s="27" t="str">
        <x:v>2025-01</x:v>
      </x:c>
      <x:c r="C9" s="27" t="str">
        <x:v>Demo Moliya MChJ</x:v>
      </x:c>
      <x:c r="D9" s="27" t="str">
        <x:v>Production</x:v>
      </x:c>
      <x:c r="E9" s="27" t="str">
        <x:v>PRD-01</x:v>
      </x:c>
      <x:c r="F9" s="27" t="str">
        <x:v>6100</x:v>
      </x:c>
      <x:c r="G9" s="27" t="str">
        <x:v>Sotuv xarajatlari</x:v>
      </x:c>
      <x:c r="H9" s="27" t="str">
        <x:v>OPEX_SALES</x:v>
      </x:c>
      <x:c r="I9" s="27" t="str">
        <x:v>Dr</x:v>
      </x:c>
      <x:c r="J9" s="27" t="n">
        <x:v>-65</x:v>
      </x:c>
      <x:c r="K9" s="27" t="str">
        <x:v>UZS</x:v>
      </x:c>
      <x:c r="L9" s="27" t="str">
        <x:v>UPL-2026-04-25-001</x:v>
      </x:c>
      <x:c r="M9" s="27" t="n">
        <x:v>6</x:v>
      </x:c>
      <x:c r="N9" s="27" t="str">
        <x:v>hash-2025-01-6100-6</x:v>
      </x:c>
    </x:row>
    <x:row r="10">
      <x:c r="A10" s="27" t="n">
        <x:v>45685</x:v>
      </x:c>
      <x:c r="B10" s="27" t="str">
        <x:v>2025-01</x:v>
      </x:c>
      <x:c r="C10" s="27" t="str">
        <x:v>Demo Moliya MChJ</x:v>
      </x:c>
      <x:c r="D10" s="27" t="str">
        <x:v>Admin</x:v>
      </x:c>
      <x:c r="E10" s="27" t="str">
        <x:v>ADM-01</x:v>
      </x:c>
      <x:c r="F10" s="27" t="str">
        <x:v>6200</x:v>
      </x:c>
      <x:c r="G10" s="27" t="str">
        <x:v>Ma'muriy xarajatlar</x:v>
      </x:c>
      <x:c r="H10" s="27" t="str">
        <x:v>OPEX_ADMIN</x:v>
      </x:c>
      <x:c r="I10" s="27" t="str">
        <x:v>Dr</x:v>
      </x:c>
      <x:c r="J10" s="27" t="n">
        <x:v>-80</x:v>
      </x:c>
      <x:c r="K10" s="27" t="str">
        <x:v>UZS</x:v>
      </x:c>
      <x:c r="L10" s="27" t="str">
        <x:v>UPL-2026-04-25-001</x:v>
      </x:c>
      <x:c r="M10" s="27" t="n">
        <x:v>7</x:v>
      </x:c>
      <x:c r="N10" s="27" t="str">
        <x:v>hash-2025-01-6200-7</x:v>
      </x:c>
    </x:row>
    <x:row r="11">
      <x:c r="A11" s="27" t="n">
        <x:v>45685</x:v>
      </x:c>
      <x:c r="B11" s="27" t="str">
        <x:v>2025-01</x:v>
      </x:c>
      <x:c r="C11" s="27" t="str">
        <x:v>Demo Moliya MChJ</x:v>
      </x:c>
      <x:c r="D11" s="27" t="str">
        <x:v>Sales</x:v>
      </x:c>
      <x:c r="E11" s="27" t="str">
        <x:v>SLS-01</x:v>
      </x:c>
      <x:c r="F11" s="27" t="str">
        <x:v>6300</x:v>
      </x:c>
      <x:c r="G11" s="27" t="str">
        <x:v>Amortizatsiya</x:v>
      </x:c>
      <x:c r="H11" s="27" t="str">
        <x:v>DEPR</x:v>
      </x:c>
      <x:c r="I11" s="27" t="str">
        <x:v>Dr</x:v>
      </x:c>
      <x:c r="J11" s="27" t="n">
        <x:v>-41</x:v>
      </x:c>
      <x:c r="K11" s="27" t="str">
        <x:v>UZS</x:v>
      </x:c>
      <x:c r="L11" s="27" t="str">
        <x:v>UPL-2026-04-25-001</x:v>
      </x:c>
      <x:c r="M11" s="27" t="n">
        <x:v>8</x:v>
      </x:c>
      <x:c r="N11" s="27" t="str">
        <x:v>hash-2025-01-6300-8</x:v>
      </x:c>
    </x:row>
    <x:row r="12">
      <x:c r="A12" s="27" t="n">
        <x:v>45685</x:v>
      </x:c>
      <x:c r="B12" s="27" t="str">
        <x:v>2025-01</x:v>
      </x:c>
      <x:c r="C12" s="27" t="str">
        <x:v>Demo Moliya MChJ</x:v>
      </x:c>
      <x:c r="D12" s="27" t="str">
        <x:v>Production</x:v>
      </x:c>
      <x:c r="E12" s="27" t="str">
        <x:v>PRD-01</x:v>
      </x:c>
      <x:c r="F12" s="27" t="str">
        <x:v>7000</x:v>
      </x:c>
      <x:c r="G12" s="27" t="str">
        <x:v>Foiz xarajatlari</x:v>
      </x:c>
      <x:c r="H12" s="27" t="str">
        <x:v>FINANCE_COST</x:v>
      </x:c>
      <x:c r="I12" s="27" t="str">
        <x:v>Dr</x:v>
      </x:c>
      <x:c r="J12" s="27" t="n">
        <x:v>-16</x:v>
      </x:c>
      <x:c r="K12" s="27" t="str">
        <x:v>UZS</x:v>
      </x:c>
      <x:c r="L12" s="27" t="str">
        <x:v>UPL-2026-04-25-001</x:v>
      </x:c>
      <x:c r="M12" s="27" t="n">
        <x:v>9</x:v>
      </x:c>
      <x:c r="N12" s="27" t="str">
        <x:v>hash-2025-01-7000-9</x:v>
      </x:c>
    </x:row>
    <x:row r="13">
      <x:c r="A13" s="27" t="n">
        <x:v>45716</x:v>
      </x:c>
      <x:c r="B13" s="27" t="str">
        <x:v>2025-02</x:v>
      </x:c>
      <x:c r="C13" s="27" t="str">
        <x:v>Demo Moliya MChJ</x:v>
      </x:c>
      <x:c r="D13" s="27" t="str">
        <x:v>Sales</x:v>
      </x:c>
      <x:c r="E13" s="27" t="str">
        <x:v>SLS-01</x:v>
      </x:c>
      <x:c r="F13" s="27" t="str">
        <x:v>4000</x:v>
      </x:c>
      <x:c r="G13" s="27" t="str">
        <x:v>Mahalliy savdo tushumi</x:v>
      </x:c>
      <x:c r="H13" s="27" t="str">
        <x:v>REV_LOCAL</x:v>
      </x:c>
      <x:c r="I13" s="27" t="str">
        <x:v>Cr</x:v>
      </x:c>
      <x:c r="J13" s="27" t="n">
        <x:v>638</x:v>
      </x:c>
      <x:c r="K13" s="27" t="str">
        <x:v>UZS</x:v>
      </x:c>
      <x:c r="L13" s="27" t="str">
        <x:v>UPL-2026-04-25-001</x:v>
      </x:c>
      <x:c r="M13" s="27" t="n">
        <x:v>10</x:v>
      </x:c>
      <x:c r="N13" s="27" t="str">
        <x:v>hash-2025-02-4000-10</x:v>
      </x:c>
    </x:row>
    <x:row r="14">
      <x:c r="A14" s="27" t="n">
        <x:v>45716</x:v>
      </x:c>
      <x:c r="B14" s="27" t="str">
        <x:v>2025-02</x:v>
      </x:c>
      <x:c r="C14" s="27" t="str">
        <x:v>Demo Moliya MChJ</x:v>
      </x:c>
      <x:c r="D14" s="27" t="str">
        <x:v>Production</x:v>
      </x:c>
      <x:c r="E14" s="27" t="str">
        <x:v>PRD-01</x:v>
      </x:c>
      <x:c r="F14" s="27" t="str">
        <x:v>4010</x:v>
      </x:c>
      <x:c r="G14" s="27" t="str">
        <x:v>Eksport tushumi</x:v>
      </x:c>
      <x:c r="H14" s="27" t="str">
        <x:v>REV_EXPORT</x:v>
      </x:c>
      <x:c r="I14" s="27" t="str">
        <x:v>Cr</x:v>
      </x:c>
      <x:c r="J14" s="27" t="n">
        <x:v>435</x:v>
      </x:c>
      <x:c r="K14" s="27" t="str">
        <x:v>UZS</x:v>
      </x:c>
      <x:c r="L14" s="27" t="str">
        <x:v>UPL-2026-04-25-001</x:v>
      </x:c>
      <x:c r="M14" s="27" t="n">
        <x:v>11</x:v>
      </x:c>
      <x:c r="N14" s="27" t="str">
        <x:v>hash-2025-02-4010-11</x:v>
      </x:c>
    </x:row>
    <x:row r="15">
      <x:c r="A15" s="27" t="n">
        <x:v>45716</x:v>
      </x:c>
      <x:c r="B15" s="27" t="str">
        <x:v>2025-02</x:v>
      </x:c>
      <x:c r="C15" s="27" t="str">
        <x:v>Demo Moliya MChJ</x:v>
      </x:c>
      <x:c r="D15" s="27" t="str">
        <x:v>Admin</x:v>
      </x:c>
      <x:c r="E15" s="27" t="str">
        <x:v>ADM-01</x:v>
      </x:c>
      <x:c r="F15" s="27" t="str">
        <x:v>5000</x:v>
      </x:c>
      <x:c r="G15" s="27" t="str">
        <x:v>Xomashyo xarajati</x:v>
      </x:c>
      <x:c r="H15" s="27" t="str">
        <x:v>COGS_MATERIAL</x:v>
      </x:c>
      <x:c r="I15" s="27" t="str">
        <x:v>Dr</x:v>
      </x:c>
      <x:c r="J15" s="27" t="n">
        <x:v>-278</x:v>
      </x:c>
      <x:c r="K15" s="27" t="str">
        <x:v>UZS</x:v>
      </x:c>
      <x:c r="L15" s="27" t="str">
        <x:v>UPL-2026-04-25-001</x:v>
      </x:c>
      <x:c r="M15" s="27" t="n">
        <x:v>12</x:v>
      </x:c>
      <x:c r="N15" s="27" t="str">
        <x:v>hash-2025-02-5000-12</x:v>
      </x:c>
    </x:row>
    <x:row r="16">
      <x:c r="A16" s="27" t="n">
        <x:v>45716</x:v>
      </x:c>
      <x:c r="B16" s="27" t="str">
        <x:v>2025-02</x:v>
      </x:c>
      <x:c r="C16" s="27" t="str">
        <x:v>Demo Moliya MChJ</x:v>
      </x:c>
      <x:c r="D16" s="27" t="str">
        <x:v>Sales</x:v>
      </x:c>
      <x:c r="E16" s="27" t="str">
        <x:v>SLS-01</x:v>
      </x:c>
      <x:c r="F16" s="27" t="str">
        <x:v>5010</x:v>
      </x:c>
      <x:c r="G16" s="27" t="str">
        <x:v>Ish haqi tannarxi</x:v>
      </x:c>
      <x:c r="H16" s="27" t="str">
        <x:v>COGS_LABOR</x:v>
      </x:c>
      <x:c r="I16" s="27" t="str">
        <x:v>Dr</x:v>
      </x:c>
      <x:c r="J16" s="27" t="n">
        <x:v>-127</x:v>
      </x:c>
      <x:c r="K16" s="27" t="str">
        <x:v>UZS</x:v>
      </x:c>
      <x:c r="L16" s="27" t="str">
        <x:v>UPL-2026-04-25-001</x:v>
      </x:c>
      <x:c r="M16" s="27" t="n">
        <x:v>13</x:v>
      </x:c>
      <x:c r="N16" s="27" t="str">
        <x:v>hash-2025-02-5010-13</x:v>
      </x:c>
    </x:row>
    <x:row r="17">
      <x:c r="A17" s="27" t="n">
        <x:v>45716</x:v>
      </x:c>
      <x:c r="B17" s="27" t="str">
        <x:v>2025-02</x:v>
      </x:c>
      <x:c r="C17" s="27" t="str">
        <x:v>Demo Moliya MChJ</x:v>
      </x:c>
      <x:c r="D17" s="27" t="str">
        <x:v>Production</x:v>
      </x:c>
      <x:c r="E17" s="27" t="str">
        <x:v>PRD-01</x:v>
      </x:c>
      <x:c r="F17" s="27" t="str">
        <x:v>6100</x:v>
      </x:c>
      <x:c r="G17" s="27" t="str">
        <x:v>Sotuv xarajatlari</x:v>
      </x:c>
      <x:c r="H17" s="27" t="str">
        <x:v>OPEX_SALES</x:v>
      </x:c>
      <x:c r="I17" s="27" t="str">
        <x:v>Dr</x:v>
      </x:c>
      <x:c r="J17" s="27" t="n">
        <x:v>-47</x:v>
      </x:c>
      <x:c r="K17" s="27" t="str">
        <x:v>UZS</x:v>
      </x:c>
      <x:c r="L17" s="27" t="str">
        <x:v>UPL-2026-04-25-001</x:v>
      </x:c>
      <x:c r="M17" s="27" t="n">
        <x:v>14</x:v>
      </x:c>
      <x:c r="N17" s="27" t="str">
        <x:v>hash-2025-02-6100-14</x:v>
      </x:c>
    </x:row>
    <x:row r="18">
      <x:c r="A18" s="27" t="n">
        <x:v>45716</x:v>
      </x:c>
      <x:c r="B18" s="27" t="str">
        <x:v>2025-02</x:v>
      </x:c>
      <x:c r="C18" s="27" t="str">
        <x:v>Demo Moliya MChJ</x:v>
      </x:c>
      <x:c r="D18" s="27" t="str">
        <x:v>Admin</x:v>
      </x:c>
      <x:c r="E18" s="27" t="str">
        <x:v>ADM-01</x:v>
      </x:c>
      <x:c r="F18" s="27" t="str">
        <x:v>6200</x:v>
      </x:c>
      <x:c r="G18" s="27" t="str">
        <x:v>Ma'muriy xarajatlar</x:v>
      </x:c>
      <x:c r="H18" s="27" t="str">
        <x:v>OPEX_ADMIN</x:v>
      </x:c>
      <x:c r="I18" s="27" t="str">
        <x:v>Dr</x:v>
      </x:c>
      <x:c r="J18" s="27" t="n">
        <x:v>-62</x:v>
      </x:c>
      <x:c r="K18" s="27" t="str">
        <x:v>UZS</x:v>
      </x:c>
      <x:c r="L18" s="27" t="str">
        <x:v>UPL-2026-04-25-001</x:v>
      </x:c>
      <x:c r="M18" s="27" t="n">
        <x:v>15</x:v>
      </x:c>
      <x:c r="N18" s="27" t="str">
        <x:v>hash-2025-02-6200-15</x:v>
      </x:c>
    </x:row>
    <x:row r="19">
      <x:c r="A19" s="27" t="n">
        <x:v>45716</x:v>
      </x:c>
      <x:c r="B19" s="27" t="str">
        <x:v>2025-02</x:v>
      </x:c>
      <x:c r="C19" s="27" t="str">
        <x:v>Demo Moliya MChJ</x:v>
      </x:c>
      <x:c r="D19" s="27" t="str">
        <x:v>Sales</x:v>
      </x:c>
      <x:c r="E19" s="27" t="str">
        <x:v>SLS-01</x:v>
      </x:c>
      <x:c r="F19" s="27" t="str">
        <x:v>6300</x:v>
      </x:c>
      <x:c r="G19" s="27" t="str">
        <x:v>Amortizatsiya</x:v>
      </x:c>
      <x:c r="H19" s="27" t="str">
        <x:v>DEPR</x:v>
      </x:c>
      <x:c r="I19" s="27" t="str">
        <x:v>Dr</x:v>
      </x:c>
      <x:c r="J19" s="27" t="n">
        <x:v>-23</x:v>
      </x:c>
      <x:c r="K19" s="27" t="str">
        <x:v>UZS</x:v>
      </x:c>
      <x:c r="L19" s="27" t="str">
        <x:v>UPL-2026-04-25-001</x:v>
      </x:c>
      <x:c r="M19" s="27" t="n">
        <x:v>16</x:v>
      </x:c>
      <x:c r="N19" s="27" t="str">
        <x:v>hash-2025-02-6300-16</x:v>
      </x:c>
    </x:row>
    <x:row r="20">
      <x:c r="A20" s="27" t="n">
        <x:v>45716</x:v>
      </x:c>
      <x:c r="B20" s="27" t="str">
        <x:v>2025-02</x:v>
      </x:c>
      <x:c r="C20" s="27" t="str">
        <x:v>Demo Moliya MChJ</x:v>
      </x:c>
      <x:c r="D20" s="27" t="str">
        <x:v>Production</x:v>
      </x:c>
      <x:c r="E20" s="27" t="str">
        <x:v>PRD-01</x:v>
      </x:c>
      <x:c r="F20" s="27" t="str">
        <x:v>7000</x:v>
      </x:c>
      <x:c r="G20" s="27" t="str">
        <x:v>Foiz xarajatlari</x:v>
      </x:c>
      <x:c r="H20" s="27" t="str">
        <x:v>FINANCE_COST</x:v>
      </x:c>
      <x:c r="I20" s="27" t="str">
        <x:v>Dr</x:v>
      </x:c>
      <x:c r="J20" s="27" t="n">
        <x:v>-2</x:v>
      </x:c>
      <x:c r="K20" s="27" t="str">
        <x:v>UZS</x:v>
      </x:c>
      <x:c r="L20" s="27" t="str">
        <x:v>UPL-2026-04-25-001</x:v>
      </x:c>
      <x:c r="M20" s="27" t="n">
        <x:v>17</x:v>
      </x:c>
      <x:c r="N20" s="27" t="str">
        <x:v>hash-2025-02-7000-17</x:v>
      </x:c>
    </x:row>
    <x:row r="21">
      <x:c r="A21" s="27" t="n">
        <x:v>45744</x:v>
      </x:c>
      <x:c r="B21" s="27" t="str">
        <x:v>2025-03</x:v>
      </x:c>
      <x:c r="C21" s="27" t="str">
        <x:v>Demo Moliya MChJ</x:v>
      </x:c>
      <x:c r="D21" s="27" t="str">
        <x:v>Sales</x:v>
      </x:c>
      <x:c r="E21" s="27" t="str">
        <x:v>SLS-01</x:v>
      </x:c>
      <x:c r="F21" s="27" t="str">
        <x:v>4000</x:v>
      </x:c>
      <x:c r="G21" s="27" t="str">
        <x:v>Mahalliy savdo tushumi</x:v>
      </x:c>
      <x:c r="H21" s="27" t="str">
        <x:v>REV_LOCAL</x:v>
      </x:c>
      <x:c r="I21" s="27" t="str">
        <x:v>Cr</x:v>
      </x:c>
      <x:c r="J21" s="27" t="n">
        <x:v>656</x:v>
      </x:c>
      <x:c r="K21" s="27" t="str">
        <x:v>UZS</x:v>
      </x:c>
      <x:c r="L21" s="27" t="str">
        <x:v>UPL-2026-04-25-001</x:v>
      </x:c>
      <x:c r="M21" s="27" t="n">
        <x:v>18</x:v>
      </x:c>
      <x:c r="N21" s="27" t="str">
        <x:v>hash-2025-03-4000-18</x:v>
      </x:c>
    </x:row>
    <x:row r="22">
      <x:c r="A22" s="27" t="n">
        <x:v>45744</x:v>
      </x:c>
      <x:c r="B22" s="27" t="str">
        <x:v>2025-03</x:v>
      </x:c>
      <x:c r="C22" s="27" t="str">
        <x:v>Demo Moliya MChJ</x:v>
      </x:c>
      <x:c r="D22" s="27" t="str">
        <x:v>Production</x:v>
      </x:c>
      <x:c r="E22" s="27" t="str">
        <x:v>PRD-01</x:v>
      </x:c>
      <x:c r="F22" s="27" t="str">
        <x:v>4010</x:v>
      </x:c>
      <x:c r="G22" s="27" t="str">
        <x:v>Eksport tushumi</x:v>
      </x:c>
      <x:c r="H22" s="27" t="str">
        <x:v>REV_EXPORT</x:v>
      </x:c>
      <x:c r="I22" s="27" t="str">
        <x:v>Cr</x:v>
      </x:c>
      <x:c r="J22" s="27" t="n">
        <x:v>453</x:v>
      </x:c>
      <x:c r="K22" s="27" t="str">
        <x:v>UZS</x:v>
      </x:c>
      <x:c r="L22" s="27" t="str">
        <x:v>UPL-2026-04-25-001</x:v>
      </x:c>
      <x:c r="M22" s="27" t="n">
        <x:v>19</x:v>
      </x:c>
      <x:c r="N22" s="27" t="str">
        <x:v>hash-2025-03-4010-19</x:v>
      </x:c>
    </x:row>
    <x:row r="23">
      <x:c r="A23" s="27" t="n">
        <x:v>45744</x:v>
      </x:c>
      <x:c r="B23" s="27" t="str">
        <x:v>2025-03</x:v>
      </x:c>
      <x:c r="C23" s="27" t="str">
        <x:v>Demo Moliya MChJ</x:v>
      </x:c>
      <x:c r="D23" s="27" t="str">
        <x:v>Admin</x:v>
      </x:c>
      <x:c r="E23" s="27" t="str">
        <x:v>ADM-01</x:v>
      </x:c>
      <x:c r="F23" s="27" t="str">
        <x:v>5000</x:v>
      </x:c>
      <x:c r="G23" s="27" t="str">
        <x:v>Xomashyo xarajati</x:v>
      </x:c>
      <x:c r="H23" s="27" t="str">
        <x:v>COGS_MATERIAL</x:v>
      </x:c>
      <x:c r="I23" s="27" t="str">
        <x:v>Dr</x:v>
      </x:c>
      <x:c r="J23" s="27" t="n">
        <x:v>-260</x:v>
      </x:c>
      <x:c r="K23" s="27" t="str">
        <x:v>UZS</x:v>
      </x:c>
      <x:c r="L23" s="27" t="str">
        <x:v>UPL-2026-04-25-001</x:v>
      </x:c>
      <x:c r="M23" s="27" t="n">
        <x:v>20</x:v>
      </x:c>
      <x:c r="N23" s="27" t="str">
        <x:v>hash-2025-03-5000-20</x:v>
      </x:c>
    </x:row>
    <x:row r="24">
      <x:c r="A24" s="27" t="n">
        <x:v>45744</x:v>
      </x:c>
      <x:c r="B24" s="27" t="str">
        <x:v>2025-03</x:v>
      </x:c>
      <x:c r="C24" s="27" t="str">
        <x:v>Demo Moliya MChJ</x:v>
      </x:c>
      <x:c r="D24" s="27" t="str">
        <x:v>Sales</x:v>
      </x:c>
      <x:c r="E24" s="27" t="str">
        <x:v>SLS-01</x:v>
      </x:c>
      <x:c r="F24" s="27" t="str">
        <x:v>5010</x:v>
      </x:c>
      <x:c r="G24" s="27" t="str">
        <x:v>Ish haqi tannarxi</x:v>
      </x:c>
      <x:c r="H24" s="27" t="str">
        <x:v>COGS_LABOR</x:v>
      </x:c>
      <x:c r="I24" s="27" t="str">
        <x:v>Dr</x:v>
      </x:c>
      <x:c r="J24" s="27" t="n">
        <x:v>-109</x:v>
      </x:c>
      <x:c r="K24" s="27" t="str">
        <x:v>UZS</x:v>
      </x:c>
      <x:c r="L24" s="27" t="str">
        <x:v>UPL-2026-04-25-001</x:v>
      </x:c>
      <x:c r="M24" s="27" t="n">
        <x:v>21</x:v>
      </x:c>
      <x:c r="N24" s="27" t="str">
        <x:v>hash-2025-03-5010-21</x:v>
      </x:c>
    </x:row>
    <x:row r="25">
      <x:c r="A25" s="27" t="n">
        <x:v>45744</x:v>
      </x:c>
      <x:c r="B25" s="27" t="str">
        <x:v>2025-03</x:v>
      </x:c>
      <x:c r="C25" s="27" t="str">
        <x:v>Demo Moliya MChJ</x:v>
      </x:c>
      <x:c r="D25" s="27" t="str">
        <x:v>Production</x:v>
      </x:c>
      <x:c r="E25" s="27" t="str">
        <x:v>PRD-01</x:v>
      </x:c>
      <x:c r="F25" s="27" t="str">
        <x:v>6100</x:v>
      </x:c>
      <x:c r="G25" s="27" t="str">
        <x:v>Sotuv xarajatlari</x:v>
      </x:c>
      <x:c r="H25" s="27" t="str">
        <x:v>OPEX_SALES</x:v>
      </x:c>
      <x:c r="I25" s="27" t="str">
        <x:v>Dr</x:v>
      </x:c>
      <x:c r="J25" s="27" t="n">
        <x:v>-29</x:v>
      </x:c>
      <x:c r="K25" s="27" t="str">
        <x:v>UZS</x:v>
      </x:c>
      <x:c r="L25" s="27" t="str">
        <x:v>UPL-2026-04-25-001</x:v>
      </x:c>
      <x:c r="M25" s="27" t="n">
        <x:v>22</x:v>
      </x:c>
      <x:c r="N25" s="27" t="str">
        <x:v>hash-2025-03-6100-22</x:v>
      </x:c>
    </x:row>
    <x:row r="26">
      <x:c r="A26" s="27" t="n">
        <x:v>45744</x:v>
      </x:c>
      <x:c r="B26" s="27" t="str">
        <x:v>2025-03</x:v>
      </x:c>
      <x:c r="C26" s="27" t="str">
        <x:v>Demo Moliya MChJ</x:v>
      </x:c>
      <x:c r="D26" s="27" t="str">
        <x:v>Admin</x:v>
      </x:c>
      <x:c r="E26" s="27" t="str">
        <x:v>ADM-01</x:v>
      </x:c>
      <x:c r="F26" s="27" t="str">
        <x:v>6200</x:v>
      </x:c>
      <x:c r="G26" s="27" t="str">
        <x:v>Ma'muriy xarajatlar</x:v>
      </x:c>
      <x:c r="H26" s="27" t="str">
        <x:v>OPEX_ADMIN</x:v>
      </x:c>
      <x:c r="I26" s="27" t="str">
        <x:v>Dr</x:v>
      </x:c>
      <x:c r="J26" s="27" t="n">
        <x:v>-44</x:v>
      </x:c>
      <x:c r="K26" s="27" t="str">
        <x:v>UZS</x:v>
      </x:c>
      <x:c r="L26" s="27" t="str">
        <x:v>UPL-2026-04-25-001</x:v>
      </x:c>
      <x:c r="M26" s="27" t="n">
        <x:v>23</x:v>
      </x:c>
      <x:c r="N26" s="27" t="str">
        <x:v>hash-2025-03-6200-23</x:v>
      </x:c>
    </x:row>
    <x:row r="27">
      <x:c r="A27" s="27" t="n">
        <x:v>45744</x:v>
      </x:c>
      <x:c r="B27" s="27" t="str">
        <x:v>2025-03</x:v>
      </x:c>
      <x:c r="C27" s="27" t="str">
        <x:v>Demo Moliya MChJ</x:v>
      </x:c>
      <x:c r="D27" s="27" t="str">
        <x:v>Sales</x:v>
      </x:c>
      <x:c r="E27" s="27" t="str">
        <x:v>SLS-01</x:v>
      </x:c>
      <x:c r="F27" s="27" t="str">
        <x:v>6300</x:v>
      </x:c>
      <x:c r="G27" s="27" t="str">
        <x:v>Amortizatsiya</x:v>
      </x:c>
      <x:c r="H27" s="27" t="str">
        <x:v>DEPR</x:v>
      </x:c>
      <x:c r="I27" s="27" t="str">
        <x:v>Dr</x:v>
      </x:c>
      <x:c r="J27" s="27" t="n">
        <x:v>-5</x:v>
      </x:c>
      <x:c r="K27" s="27" t="str">
        <x:v>UZS</x:v>
      </x:c>
      <x:c r="L27" s="27" t="str">
        <x:v>UPL-2026-04-25-001</x:v>
      </x:c>
      <x:c r="M27" s="27" t="n">
        <x:v>24</x:v>
      </x:c>
      <x:c r="N27" s="27" t="str">
        <x:v>hash-2025-03-6300-24</x:v>
      </x:c>
    </x:row>
    <x:row r="28">
      <x:c r="A28" s="27" t="n">
        <x:v>45744</x:v>
      </x:c>
      <x:c r="B28" s="27" t="str">
        <x:v>2025-03</x:v>
      </x:c>
      <x:c r="C28" s="27" t="str">
        <x:v>Demo Moliya MChJ</x:v>
      </x:c>
      <x:c r="D28" s="27" t="str">
        <x:v>Production</x:v>
      </x:c>
      <x:c r="E28" s="27" t="str">
        <x:v>PRD-01</x:v>
      </x:c>
      <x:c r="F28" s="27" t="str">
        <x:v>7000</x:v>
      </x:c>
      <x:c r="G28" s="27" t="str">
        <x:v>Foiz xarajatlari</x:v>
      </x:c>
      <x:c r="H28" s="27" t="str">
        <x:v>FINANCE_COST</x:v>
      </x:c>
      <x:c r="I28" s="27" t="str">
        <x:v>Dr</x:v>
      </x:c>
      <x:c r="J28" s="27" t="n">
        <x:v>-20</x:v>
      </x:c>
      <x:c r="K28" s="27" t="str">
        <x:v>UZS</x:v>
      </x:c>
      <x:c r="L28" s="27" t="str">
        <x:v>UPL-2026-04-25-001</x:v>
      </x:c>
      <x:c r="M28" s="27" t="n">
        <x:v>25</x:v>
      </x:c>
      <x:c r="N28" s="27" t="str">
        <x:v>hash-2025-03-7000-25</x:v>
      </x:c>
    </x:row>
  </x:sheetData>
  <x:mergeCells>
    <x:mergeCell ref="A1:N1"/>
  </x:mergeCells>
  <x:conditionalFormatting sqref="J5:J20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3" hidden="0" customWidth="1"/>
    <x:col min="17" max="17" width="13" hidden="0" customWidth="1"/>
    <x:col min="18" max="18" width="38" hidden="0" customWidth="1"/>
  </x:cols>
  <x:sheetData>
    <x:row r="1" ht="30" customHeight="1">
      <x:c r="A1" s="10" t="str">
        <x:v>Management P&amp;L — Wide Monthly Format with Formulas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</x:row>
    <x:row r="3">
      <x:c r="A3" t="str">
        <x:v>Statement type</x:v>
      </x:c>
      <x:c r="B3" t="str">
        <x:v>Profit and Loss / Foyda va Zarar</x:v>
      </x:c>
      <x:c r="D3" t="str">
        <x:v>Currency</x:v>
      </x:c>
      <x:c r="E3" t="str">
        <x:v>UZS million</x:v>
      </x:c>
      <x:c r="G3" t="str">
        <x:v>Period</x:v>
      </x:c>
      <x:c r="H3" t="str">
        <x:v>Jan-Dec 2025</x:v>
      </x:c>
    </x:row>
    <x:row r="4" ht="22" customHeight="1"/>
    <x:row r="5">
      <x:c r="A5" s="20" t="str">
        <x:v>attribute_code</x:v>
      </x:c>
      <x:c r="B5" s="20" t="str">
        <x:v>line_item</x:v>
      </x:c>
      <x:c r="C5" s="20" t="str">
        <x:v>category</x:v>
      </x:c>
      <x:c r="D5" s="20" t="str">
        <x:v>Jan-2025</x:v>
      </x:c>
      <x:c r="E5" s="20" t="str">
        <x:v>Feb-2025</x:v>
      </x:c>
      <x:c r="F5" s="20" t="str">
        <x:v>Mar-2025</x:v>
      </x:c>
      <x:c r="G5" s="20" t="str">
        <x:v>Apr-2025</x:v>
      </x:c>
      <x:c r="H5" s="20" t="str">
        <x:v>May-2025</x:v>
      </x:c>
      <x:c r="I5" s="20" t="str">
        <x:v>Jun-2025</x:v>
      </x:c>
      <x:c r="J5" s="20" t="str">
        <x:v>Jul-2025</x:v>
      </x:c>
      <x:c r="K5" s="20" t="str">
        <x:v>Aug-2025</x:v>
      </x:c>
      <x:c r="L5" s="20" t="str">
        <x:v>Sep-2025</x:v>
      </x:c>
      <x:c r="M5" s="20" t="str">
        <x:v>Oct-2025</x:v>
      </x:c>
      <x:c r="N5" s="20" t="str">
        <x:v>Nov-2025</x:v>
      </x:c>
      <x:c r="O5" s="20" t="str">
        <x:v>Dec-2025</x:v>
      </x:c>
      <x:c r="P5" s="20" t="str">
        <x:v>FY_Total</x:v>
      </x:c>
      <x:c r="Q5" s="20" t="str">
        <x:v>Avg_Month</x:v>
      </x:c>
      <x:c r="R5" s="20" t="str">
        <x:v>Comment</x:v>
      </x:c>
    </x:row>
    <x:row r="6">
      <x:c r="A6" s="27" t="str">
        <x:v>REV_LOCAL</x:v>
      </x:c>
      <x:c r="B6" s="27" t="str">
        <x:v>Mahalliy tushum</x:v>
      </x:c>
      <x:c r="C6" s="27" t="str">
        <x:v>Revenue</x:v>
      </x:c>
      <x:c r="D6" s="36" t="n">
        <x:v>620</x:v>
      </x:c>
      <x:c r="E6" s="36" t="n">
        <x:v>638</x:v>
      </x:c>
      <x:c r="F6" s="36" t="n">
        <x:v>654</x:v>
      </x:c>
      <x:c r="G6" s="36" t="n">
        <x:v>672</x:v>
      </x:c>
      <x:c r="H6" s="36" t="n">
        <x:v>690</x:v>
      </x:c>
      <x:c r="I6" s="36" t="n">
        <x:v>708</x:v>
      </x:c>
      <x:c r="J6" s="36" t="n">
        <x:v>730</x:v>
      </x:c>
      <x:c r="K6" s="36" t="n">
        <x:v>752</x:v>
      </x:c>
      <x:c r="L6" s="36" t="n">
        <x:v>775</x:v>
      </x:c>
      <x:c r="M6" s="36" t="n">
        <x:v>796</x:v>
      </x:c>
      <x:c r="N6" s="36" t="n">
        <x:v>818</x:v>
      </x:c>
      <x:c r="O6" s="36" t="n">
        <x:v>840</x:v>
      </x:c>
      <x:c r="P6" s="36" t="n">
        <x:f>SUM(D6:O6)</x:f>
        <x:v>8693</x:v>
      </x:c>
      <x:c r="Q6" s="36" t="n">
        <x:f>AVERAGE(D6:O6)</x:f>
        <x:v>724.4166666666666</x:v>
      </x:c>
      <x:c r="R6" s="27" t="str">
        <x:v>Local sales revenue</x:v>
      </x:c>
    </x:row>
    <x:row r="7">
      <x:c r="A7" s="27" t="str">
        <x:v>REV_EXPORT</x:v>
      </x:c>
      <x:c r="B7" s="27" t="str">
        <x:v>Eksport tushumi</x:v>
      </x:c>
      <x:c r="C7" s="27" t="str">
        <x:v>Revenue</x:v>
      </x:c>
      <x:c r="D7" s="36" t="n">
        <x:v>410</x:v>
      </x:c>
      <x:c r="E7" s="36" t="n">
        <x:v>424</x:v>
      </x:c>
      <x:c r="F7" s="36" t="n">
        <x:v>436</x:v>
      </x:c>
      <x:c r="G7" s="36" t="n">
        <x:v>450</x:v>
      </x:c>
      <x:c r="H7" s="36" t="n">
        <x:v>462</x:v>
      </x:c>
      <x:c r="I7" s="36" t="n">
        <x:v>478</x:v>
      </x:c>
      <x:c r="J7" s="36" t="n">
        <x:v>495</x:v>
      </x:c>
      <x:c r="K7" s="36" t="n">
        <x:v>512</x:v>
      </x:c>
      <x:c r="L7" s="36" t="n">
        <x:v>530</x:v>
      </x:c>
      <x:c r="M7" s="36" t="n">
        <x:v>548</x:v>
      </x:c>
      <x:c r="N7" s="36" t="n">
        <x:v>565</x:v>
      </x:c>
      <x:c r="O7" s="36" t="n">
        <x:v>590</x:v>
      </x:c>
      <x:c r="P7" s="36" t="n">
        <x:f>SUM(D7:O7)</x:f>
        <x:v>5900</x:v>
      </x:c>
      <x:c r="Q7" s="36" t="n">
        <x:f>AVERAGE(D7:O7)</x:f>
        <x:v>491.6666666666667</x:v>
      </x:c>
      <x:c r="R7" s="27" t="str">
        <x:v>Export revenue</x:v>
      </x:c>
    </x:row>
    <x:row r="8">
      <x:c r="A8" s="27" t="str">
        <x:v>REV_TOTAL</x:v>
      </x:c>
      <x:c r="B8" s="27" t="str">
        <x:v>Jami tushum</x:v>
      </x:c>
      <x:c r="C8" s="27" t="str">
        <x:v>Revenue</x:v>
      </x:c>
      <x:c r="D8" s="36" t="n">
        <x:f>D6+D7</x:f>
        <x:v>1030</x:v>
      </x:c>
      <x:c r="E8" s="36" t="n">
        <x:f>E6+E7</x:f>
        <x:v>1062</x:v>
      </x:c>
      <x:c r="F8" s="36" t="n">
        <x:f>F6+F7</x:f>
        <x:v>1090</x:v>
      </x:c>
      <x:c r="G8" s="36" t="n">
        <x:f>G6+G7</x:f>
        <x:v>1122</x:v>
      </x:c>
      <x:c r="H8" s="36" t="n">
        <x:f>H6+H7</x:f>
        <x:v>1152</x:v>
      </x:c>
      <x:c r="I8" s="36" t="n">
        <x:f>I6+I7</x:f>
        <x:v>1186</x:v>
      </x:c>
      <x:c r="J8" s="36" t="n">
        <x:f>J6+J7</x:f>
        <x:v>1225</x:v>
      </x:c>
      <x:c r="K8" s="36" t="n">
        <x:f>K6+K7</x:f>
        <x:v>1264</x:v>
      </x:c>
      <x:c r="L8" s="36" t="n">
        <x:f>L6+L7</x:f>
        <x:v>1305</x:v>
      </x:c>
      <x:c r="M8" s="36" t="n">
        <x:f>M6+M7</x:f>
        <x:v>1344</x:v>
      </x:c>
      <x:c r="N8" s="36" t="n">
        <x:f>N6+N7</x:f>
        <x:v>1383</x:v>
      </x:c>
      <x:c r="O8" s="36" t="n">
        <x:f>O6+O7</x:f>
        <x:v>1430</x:v>
      </x:c>
      <x:c r="P8" s="36" t="n">
        <x:f>SUM(D8:O8)</x:f>
        <x:v>14593</x:v>
      </x:c>
      <x:c r="Q8" s="36" t="n">
        <x:f>AVERAGE(D8:O8)</x:f>
        <x:v>1216.0833333333333</x:v>
      </x:c>
      <x:c r="R8" s="27" t="str">
        <x:v>Formula: local + export</x:v>
      </x:c>
    </x:row>
    <x:row r="9">
      <x:c r="A9" s="27" t="str">
        <x:v>COGS_MATERIAL</x:v>
      </x:c>
      <x:c r="B9" s="27" t="str">
        <x:v>Xomashyo tannarxi</x:v>
      </x:c>
      <x:c r="C9" s="27" t="str">
        <x:v>COGS</x:v>
      </x:c>
      <x:c r="D9" s="36" t="n">
        <x:v>-310</x:v>
      </x:c>
      <x:c r="E9" s="36" t="n">
        <x:v>-318</x:v>
      </x:c>
      <x:c r="F9" s="36" t="n">
        <x:v>-326</x:v>
      </x:c>
      <x:c r="G9" s="36" t="n">
        <x:v>-335</x:v>
      </x:c>
      <x:c r="H9" s="36" t="n">
        <x:v>-344</x:v>
      </x:c>
      <x:c r="I9" s="36" t="n">
        <x:v>-353</x:v>
      </x:c>
      <x:c r="J9" s="36" t="n">
        <x:v>-363</x:v>
      </x:c>
      <x:c r="K9" s="36" t="n">
        <x:v>-374</x:v>
      </x:c>
      <x:c r="L9" s="36" t="n">
        <x:v>-385</x:v>
      </x:c>
      <x:c r="M9" s="36" t="n">
        <x:v>-397</x:v>
      </x:c>
      <x:c r="N9" s="36" t="n">
        <x:v>-409</x:v>
      </x:c>
      <x:c r="O9" s="36" t="n">
        <x:v>-421</x:v>
      </x:c>
      <x:c r="P9" s="36" t="n">
        <x:f>SUM(D9:O9)</x:f>
        <x:v>-4335</x:v>
      </x:c>
      <x:c r="Q9" s="36" t="n">
        <x:f>AVERAGE(D9:O9)</x:f>
        <x:v>-361.25</x:v>
      </x:c>
      <x:c r="R9" s="27" t="str">
        <x:v>Direct material costs</x:v>
      </x:c>
    </x:row>
    <x:row r="10">
      <x:c r="A10" s="27" t="str">
        <x:v>COGS_LABOR</x:v>
      </x:c>
      <x:c r="B10" s="27" t="str">
        <x:v>Ish haqi tannarxi</x:v>
      </x:c>
      <x:c r="C10" s="27" t="str">
        <x:v>COGS</x:v>
      </x:c>
      <x:c r="D10" s="36" t="n">
        <x:v>-145</x:v>
      </x:c>
      <x:c r="E10" s="36" t="n">
        <x:v>-149</x:v>
      </x:c>
      <x:c r="F10" s="36" t="n">
        <x:v>-153</x:v>
      </x:c>
      <x:c r="G10" s="36" t="n">
        <x:v>-158</x:v>
      </x:c>
      <x:c r="H10" s="36" t="n">
        <x:v>-162</x:v>
      </x:c>
      <x:c r="I10" s="36" t="n">
        <x:v>-166</x:v>
      </x:c>
      <x:c r="J10" s="36" t="n">
        <x:v>-171</x:v>
      </x:c>
      <x:c r="K10" s="36" t="n">
        <x:v>-176</x:v>
      </x:c>
      <x:c r="L10" s="36" t="n">
        <x:v>-182</x:v>
      </x:c>
      <x:c r="M10" s="36" t="n">
        <x:v>-188</x:v>
      </x:c>
      <x:c r="N10" s="36" t="n">
        <x:v>-193</x:v>
      </x:c>
      <x:c r="O10" s="36" t="n">
        <x:v>-199</x:v>
      </x:c>
      <x:c r="P10" s="36" t="n">
        <x:f>SUM(D10:O10)</x:f>
        <x:v>-2042</x:v>
      </x:c>
      <x:c r="Q10" s="36" t="n">
        <x:f>AVERAGE(D10:O10)</x:f>
        <x:v>-170.16666666666666</x:v>
      </x:c>
      <x:c r="R10" s="27" t="str">
        <x:v>Direct labor costs</x:v>
      </x:c>
    </x:row>
    <x:row r="11">
      <x:c r="A11" s="27" t="str">
        <x:v>COGS_TOTAL</x:v>
      </x:c>
      <x:c r="B11" s="27" t="str">
        <x:v>Jami tannarx</x:v>
      </x:c>
      <x:c r="C11" s="27" t="str">
        <x:v>COGS</x:v>
      </x:c>
      <x:c r="D11" s="36" t="n">
        <x:f>D9+D10</x:f>
        <x:v>-455</x:v>
      </x:c>
      <x:c r="E11" s="36" t="n">
        <x:f>E9+E10</x:f>
        <x:v>-467</x:v>
      </x:c>
      <x:c r="F11" s="36" t="n">
        <x:f>F9+F10</x:f>
        <x:v>-479</x:v>
      </x:c>
      <x:c r="G11" s="36" t="n">
        <x:f>G9+G10</x:f>
        <x:v>-493</x:v>
      </x:c>
      <x:c r="H11" s="36" t="n">
        <x:f>H9+H10</x:f>
        <x:v>-506</x:v>
      </x:c>
      <x:c r="I11" s="36" t="n">
        <x:f>I9+I10</x:f>
        <x:v>-519</x:v>
      </x:c>
      <x:c r="J11" s="36" t="n">
        <x:f>J9+J10</x:f>
        <x:v>-534</x:v>
      </x:c>
      <x:c r="K11" s="36" t="n">
        <x:f>K9+K10</x:f>
        <x:v>-550</x:v>
      </x:c>
      <x:c r="L11" s="36" t="n">
        <x:f>L9+L10</x:f>
        <x:v>-567</x:v>
      </x:c>
      <x:c r="M11" s="36" t="n">
        <x:f>M9+M10</x:f>
        <x:v>-585</x:v>
      </x:c>
      <x:c r="N11" s="36" t="n">
        <x:f>N9+N10</x:f>
        <x:v>-602</x:v>
      </x:c>
      <x:c r="O11" s="36" t="n">
        <x:f>O9+O10</x:f>
        <x:v>-620</x:v>
      </x:c>
      <x:c r="P11" s="36" t="n">
        <x:f>SUM(D11:O11)</x:f>
        <x:v>-6377</x:v>
      </x:c>
      <x:c r="Q11" s="36" t="n">
        <x:f>AVERAGE(D11:O11)</x:f>
        <x:v>-531.4166666666666</x:v>
      </x:c>
      <x:c r="R11" s="27" t="str">
        <x:v>Formula: materials + labor</x:v>
      </x:c>
    </x:row>
    <x:row r="12">
      <x:c r="A12" s="27" t="str">
        <x:v>GROSS_PROFIT</x:v>
      </x:c>
      <x:c r="B12" s="27" t="str">
        <x:v>Yalpi foyda</x:v>
      </x:c>
      <x:c r="C12" s="27" t="str">
        <x:v>Margin</x:v>
      </x:c>
      <x:c r="D12" s="36" t="n">
        <x:f>D8+D11</x:f>
        <x:v>575</x:v>
      </x:c>
      <x:c r="E12" s="36" t="n">
        <x:f>E8+E11</x:f>
        <x:v>595</x:v>
      </x:c>
      <x:c r="F12" s="36" t="n">
        <x:f>F8+F11</x:f>
        <x:v>611</x:v>
      </x:c>
      <x:c r="G12" s="36" t="n">
        <x:f>G8+G11</x:f>
        <x:v>629</x:v>
      </x:c>
      <x:c r="H12" s="36" t="n">
        <x:f>H8+H11</x:f>
        <x:v>646</x:v>
      </x:c>
      <x:c r="I12" s="36" t="n">
        <x:f>I8+I11</x:f>
        <x:v>667</x:v>
      </x:c>
      <x:c r="J12" s="36" t="n">
        <x:f>J8+J11</x:f>
        <x:v>691</x:v>
      </x:c>
      <x:c r="K12" s="36" t="n">
        <x:f>K8+K11</x:f>
        <x:v>714</x:v>
      </x:c>
      <x:c r="L12" s="36" t="n">
        <x:f>L8+L11</x:f>
        <x:v>738</x:v>
      </x:c>
      <x:c r="M12" s="36" t="n">
        <x:f>M8+M11</x:f>
        <x:v>759</x:v>
      </x:c>
      <x:c r="N12" s="36" t="n">
        <x:f>N8+N11</x:f>
        <x:v>781</x:v>
      </x:c>
      <x:c r="O12" s="36" t="n">
        <x:f>O8+O11</x:f>
        <x:v>810</x:v>
      </x:c>
      <x:c r="P12" s="36" t="n">
        <x:f>SUM(D12:O12)</x:f>
        <x:v>8216</x:v>
      </x:c>
      <x:c r="Q12" s="36" t="n">
        <x:f>AVERAGE(D12:O12)</x:f>
        <x:v>684.6666666666666</x:v>
      </x:c>
      <x:c r="R12" s="27" t="str">
        <x:v>Formula: revenue + COGS</x:v>
      </x:c>
    </x:row>
    <x:row r="13">
      <x:c r="A13" s="27" t="str">
        <x:v>OPEX_SALES</x:v>
      </x:c>
      <x:c r="B13" s="27" t="str">
        <x:v>Sotuv xarajatlari</x:v>
      </x:c>
      <x:c r="C13" s="27" t="str">
        <x:v>OPEX</x:v>
      </x:c>
      <x:c r="D13" s="36" t="n">
        <x:v>-72</x:v>
      </x:c>
      <x:c r="E13" s="36" t="n">
        <x:v>-74</x:v>
      </x:c>
      <x:c r="F13" s="36" t="n">
        <x:v>-76</x:v>
      </x:c>
      <x:c r="G13" s="36" t="n">
        <x:v>-79</x:v>
      </x:c>
      <x:c r="H13" s="36" t="n">
        <x:v>-81</x:v>
      </x:c>
      <x:c r="I13" s="36" t="n">
        <x:v>-83</x:v>
      </x:c>
      <x:c r="J13" s="36" t="n">
        <x:v>-86</x:v>
      </x:c>
      <x:c r="K13" s="36" t="n">
        <x:v>-89</x:v>
      </x:c>
      <x:c r="L13" s="36" t="n">
        <x:v>-92</x:v>
      </x:c>
      <x:c r="M13" s="36" t="n">
        <x:v>-95</x:v>
      </x:c>
      <x:c r="N13" s="36" t="n">
        <x:v>-98</x:v>
      </x:c>
      <x:c r="O13" s="36" t="n">
        <x:v>-101</x:v>
      </x:c>
      <x:c r="P13" s="36" t="n">
        <x:f>SUM(D13:O13)</x:f>
        <x:v>-1026</x:v>
      </x:c>
      <x:c r="Q13" s="36" t="n">
        <x:f>AVERAGE(D13:O13)</x:f>
        <x:v>-85.5</x:v>
      </x:c>
      <x:c r="R13" s="27" t="str">
        <x:v>Sales expenses</x:v>
      </x:c>
    </x:row>
    <x:row r="14">
      <x:c r="A14" s="27" t="str">
        <x:v>OPEX_ADMIN</x:v>
      </x:c>
      <x:c r="B14" s="27" t="str">
        <x:v>Ma'muriy xarajatlar</x:v>
      </x:c>
      <x:c r="C14" s="27" t="str">
        <x:v>OPEX</x:v>
      </x:c>
      <x:c r="D14" s="36" t="n">
        <x:v>-94</x:v>
      </x:c>
      <x:c r="E14" s="36" t="n">
        <x:v>-96</x:v>
      </x:c>
      <x:c r="F14" s="36" t="n">
        <x:v>-98</x:v>
      </x:c>
      <x:c r="G14" s="36" t="n">
        <x:v>-101</x:v>
      </x:c>
      <x:c r="H14" s="36" t="n">
        <x:v>-104</x:v>
      </x:c>
      <x:c r="I14" s="36" t="n">
        <x:v>-106</x:v>
      </x:c>
      <x:c r="J14" s="36" t="n">
        <x:v>-110</x:v>
      </x:c>
      <x:c r="K14" s="36" t="n">
        <x:v>-113</x:v>
      </x:c>
      <x:c r="L14" s="36" t="n">
        <x:v>-116</x:v>
      </x:c>
      <x:c r="M14" s="36" t="n">
        <x:v>-119</x:v>
      </x:c>
      <x:c r="N14" s="36" t="n">
        <x:v>-122</x:v>
      </x:c>
      <x:c r="O14" s="36" t="n">
        <x:v>-126</x:v>
      </x:c>
      <x:c r="P14" s="36" t="n">
        <x:f>SUM(D14:O14)</x:f>
        <x:v>-1305</x:v>
      </x:c>
      <x:c r="Q14" s="36" t="n">
        <x:f>AVERAGE(D14:O14)</x:f>
        <x:v>-108.75</x:v>
      </x:c>
      <x:c r="R14" s="27" t="str">
        <x:v>Administrative expenses</x:v>
      </x:c>
    </x:row>
    <x:row r="15">
      <x:c r="A15" s="27" t="str">
        <x:v>OPEX_TOTAL</x:v>
      </x:c>
      <x:c r="B15" s="27" t="str">
        <x:v>Jami operatsion xarajat</x:v>
      </x:c>
      <x:c r="C15" s="27" t="str">
        <x:v>OPEX</x:v>
      </x:c>
      <x:c r="D15" s="36" t="n">
        <x:f>D13+D14</x:f>
        <x:v>-166</x:v>
      </x:c>
      <x:c r="E15" s="36" t="n">
        <x:f>E13+E14</x:f>
        <x:v>-170</x:v>
      </x:c>
      <x:c r="F15" s="36" t="n">
        <x:f>F13+F14</x:f>
        <x:v>-174</x:v>
      </x:c>
      <x:c r="G15" s="36" t="n">
        <x:f>G13+G14</x:f>
        <x:v>-180</x:v>
      </x:c>
      <x:c r="H15" s="36" t="n">
        <x:f>H13+H14</x:f>
        <x:v>-185</x:v>
      </x:c>
      <x:c r="I15" s="36" t="n">
        <x:f>I13+I14</x:f>
        <x:v>-189</x:v>
      </x:c>
      <x:c r="J15" s="36" t="n">
        <x:f>J13+J14</x:f>
        <x:v>-196</x:v>
      </x:c>
      <x:c r="K15" s="36" t="n">
        <x:f>K13+K14</x:f>
        <x:v>-202</x:v>
      </x:c>
      <x:c r="L15" s="36" t="n">
        <x:f>L13+L14</x:f>
        <x:v>-208</x:v>
      </x:c>
      <x:c r="M15" s="36" t="n">
        <x:f>M13+M14</x:f>
        <x:v>-214</x:v>
      </x:c>
      <x:c r="N15" s="36" t="n">
        <x:f>N13+N14</x:f>
        <x:v>-220</x:v>
      </x:c>
      <x:c r="O15" s="36" t="n">
        <x:f>O13+O14</x:f>
        <x:v>-227</x:v>
      </x:c>
      <x:c r="P15" s="36" t="n">
        <x:f>SUM(D15:O15)</x:f>
        <x:v>-2331</x:v>
      </x:c>
      <x:c r="Q15" s="36" t="n">
        <x:f>AVERAGE(D15:O15)</x:f>
        <x:v>-194.25</x:v>
      </x:c>
      <x:c r="R15" s="27" t="str">
        <x:v>Formula: sales + admin opex</x:v>
      </x:c>
    </x:row>
    <x:row r="16">
      <x:c r="A16" s="27" t="str">
        <x:v>EBITDA</x:v>
      </x:c>
      <x:c r="B16" s="27" t="str">
        <x:v>EBITDA</x:v>
      </x:c>
      <x:c r="C16" s="27" t="str">
        <x:v>Profit</x:v>
      </x:c>
      <x:c r="D16" s="36" t="n">
        <x:f>D12+D15</x:f>
        <x:v>409</x:v>
      </x:c>
      <x:c r="E16" s="36" t="n">
        <x:f>E12+E15</x:f>
        <x:v>425</x:v>
      </x:c>
      <x:c r="F16" s="36" t="n">
        <x:f>F12+F15</x:f>
        <x:v>437</x:v>
      </x:c>
      <x:c r="G16" s="36" t="n">
        <x:f>G12+G15</x:f>
        <x:v>449</x:v>
      </x:c>
      <x:c r="H16" s="36" t="n">
        <x:f>H12+H15</x:f>
        <x:v>461</x:v>
      </x:c>
      <x:c r="I16" s="36" t="n">
        <x:f>I12+I15</x:f>
        <x:v>478</x:v>
      </x:c>
      <x:c r="J16" s="36" t="n">
        <x:f>J12+J15</x:f>
        <x:v>495</x:v>
      </x:c>
      <x:c r="K16" s="36" t="n">
        <x:f>K12+K15</x:f>
        <x:v>512</x:v>
      </x:c>
      <x:c r="L16" s="36" t="n">
        <x:f>L12+L15</x:f>
        <x:v>530</x:v>
      </x:c>
      <x:c r="M16" s="36" t="n">
        <x:f>M12+M15</x:f>
        <x:v>545</x:v>
      </x:c>
      <x:c r="N16" s="36" t="n">
        <x:f>N12+N15</x:f>
        <x:v>561</x:v>
      </x:c>
      <x:c r="O16" s="36" t="n">
        <x:f>O12+O15</x:f>
        <x:v>583</x:v>
      </x:c>
      <x:c r="P16" s="36" t="n">
        <x:f>SUM(D16:O16)</x:f>
        <x:v>5885</x:v>
      </x:c>
      <x:c r="Q16" s="36" t="n">
        <x:f>AVERAGE(D16:O16)</x:f>
        <x:v>490.4166666666667</x:v>
      </x:c>
      <x:c r="R16" s="27" t="str">
        <x:v>Formula: gross profit + OPEX</x:v>
      </x:c>
    </x:row>
    <x:row r="17">
      <x:c r="A17" s="27" t="str">
        <x:v>DEPR</x:v>
      </x:c>
      <x:c r="B17" s="27" t="str">
        <x:v>Amortizatsiya</x:v>
      </x:c>
      <x:c r="C17" s="27" t="str">
        <x:v>Profit</x:v>
      </x:c>
      <x:c r="D17" s="36" t="n">
        <x:v>-41</x:v>
      </x:c>
      <x:c r="E17" s="36" t="n">
        <x:v>-41</x:v>
      </x:c>
      <x:c r="F17" s="36" t="n">
        <x:v>-42</x:v>
      </x:c>
      <x:c r="G17" s="36" t="n">
        <x:v>-42</x:v>
      </x:c>
      <x:c r="H17" s="36" t="n">
        <x:v>-43</x:v>
      </x:c>
      <x:c r="I17" s="36" t="n">
        <x:v>-43</x:v>
      </x:c>
      <x:c r="J17" s="36" t="n">
        <x:v>-44</x:v>
      </x:c>
      <x:c r="K17" s="36" t="n">
        <x:v>-44</x:v>
      </x:c>
      <x:c r="L17" s="36" t="n">
        <x:v>-45</x:v>
      </x:c>
      <x:c r="M17" s="36" t="n">
        <x:v>-45</x:v>
      </x:c>
      <x:c r="N17" s="36" t="n">
        <x:v>-46</x:v>
      </x:c>
      <x:c r="O17" s="36" t="n">
        <x:v>-46</x:v>
      </x:c>
      <x:c r="P17" s="36" t="n">
        <x:f>SUM(D17:O17)</x:f>
        <x:v>-522</x:v>
      </x:c>
      <x:c r="Q17" s="36" t="n">
        <x:f>AVERAGE(D17:O17)</x:f>
        <x:v>-43.5</x:v>
      </x:c>
      <x:c r="R17" s="27" t="str">
        <x:v>Depreciation</x:v>
      </x:c>
    </x:row>
    <x:row r="18">
      <x:c r="A18" s="27" t="str">
        <x:v>EBIT</x:v>
      </x:c>
      <x:c r="B18" s="27" t="str">
        <x:v>EBIT</x:v>
      </x:c>
      <x:c r="C18" s="27" t="str">
        <x:v>Profit</x:v>
      </x:c>
      <x:c r="D18" s="36" t="n">
        <x:f>D16+D17</x:f>
        <x:v>368</x:v>
      </x:c>
      <x:c r="E18" s="36" t="n">
        <x:f>E16+E17</x:f>
        <x:v>384</x:v>
      </x:c>
      <x:c r="F18" s="36" t="n">
        <x:f>F16+F17</x:f>
        <x:v>395</x:v>
      </x:c>
      <x:c r="G18" s="36" t="n">
        <x:f>G16+G17</x:f>
        <x:v>407</x:v>
      </x:c>
      <x:c r="H18" s="36" t="n">
        <x:f>H16+H17</x:f>
        <x:v>418</x:v>
      </x:c>
      <x:c r="I18" s="36" t="n">
        <x:f>I16+I17</x:f>
        <x:v>435</x:v>
      </x:c>
      <x:c r="J18" s="36" t="n">
        <x:f>J16+J17</x:f>
        <x:v>451</x:v>
      </x:c>
      <x:c r="K18" s="36" t="n">
        <x:f>K16+K17</x:f>
        <x:v>468</x:v>
      </x:c>
      <x:c r="L18" s="36" t="n">
        <x:f>L16+L17</x:f>
        <x:v>485</x:v>
      </x:c>
      <x:c r="M18" s="36" t="n">
        <x:f>M16+M17</x:f>
        <x:v>500</x:v>
      </x:c>
      <x:c r="N18" s="36" t="n">
        <x:f>N16+N17</x:f>
        <x:v>515</x:v>
      </x:c>
      <x:c r="O18" s="36" t="n">
        <x:f>O16+O17</x:f>
        <x:v>537</x:v>
      </x:c>
      <x:c r="P18" s="36" t="n">
        <x:f>SUM(D18:O18)</x:f>
        <x:v>5363</x:v>
      </x:c>
      <x:c r="Q18" s="36" t="n">
        <x:f>AVERAGE(D18:O18)</x:f>
        <x:v>446.9166666666667</x:v>
      </x:c>
      <x:c r="R18" s="27" t="str">
        <x:v>Formula: EBITDA + depreciation</x:v>
      </x:c>
    </x:row>
    <x:row r="19">
      <x:c r="A19" s="27" t="str">
        <x:v>FINANCE_COST</x:v>
      </x:c>
      <x:c r="B19" s="27" t="str">
        <x:v>Foiz xarajati</x:v>
      </x:c>
      <x:c r="C19" s="27" t="str">
        <x:v>Profit</x:v>
      </x:c>
      <x:c r="D19" s="36" t="n">
        <x:v>-23</x:v>
      </x:c>
      <x:c r="E19" s="36" t="n">
        <x:v>-24</x:v>
      </x:c>
      <x:c r="F19" s="36" t="n">
        <x:v>-24</x:v>
      </x:c>
      <x:c r="G19" s="36" t="n">
        <x:v>-25</x:v>
      </x:c>
      <x:c r="H19" s="36" t="n">
        <x:v>-25</x:v>
      </x:c>
      <x:c r="I19" s="36" t="n">
        <x:v>-26</x:v>
      </x:c>
      <x:c r="J19" s="36" t="n">
        <x:v>-27</x:v>
      </x:c>
      <x:c r="K19" s="36" t="n">
        <x:v>-27</x:v>
      </x:c>
      <x:c r="L19" s="36" t="n">
        <x:v>-28</x:v>
      </x:c>
      <x:c r="M19" s="36" t="n">
        <x:v>-29</x:v>
      </x:c>
      <x:c r="N19" s="36" t="n">
        <x:v>-29</x:v>
      </x:c>
      <x:c r="O19" s="36" t="n">
        <x:v>-30</x:v>
      </x:c>
      <x:c r="P19" s="36" t="n">
        <x:f>SUM(D19:O19)</x:f>
        <x:v>-317</x:v>
      </x:c>
      <x:c r="Q19" s="36" t="n">
        <x:f>AVERAGE(D19:O19)</x:f>
        <x:v>-26.416666666666668</x:v>
      </x:c>
      <x:c r="R19" s="27" t="str">
        <x:v>Finance cost</x:v>
      </x:c>
    </x:row>
    <x:row r="20">
      <x:c r="A20" s="27" t="str">
        <x:v>TAX_EXPENSE</x:v>
      </x:c>
      <x:c r="B20" s="27" t="str">
        <x:v>Soliq xarajati</x:v>
      </x:c>
      <x:c r="C20" s="27" t="str">
        <x:v>Profit</x:v>
      </x:c>
      <x:c r="D20" s="36" t="n">
        <x:v>-35</x:v>
      </x:c>
      <x:c r="E20" s="36" t="n">
        <x:v>-37</x:v>
      </x:c>
      <x:c r="F20" s="36" t="n">
        <x:v>-39</x:v>
      </x:c>
      <x:c r="G20" s="36" t="n">
        <x:v>-41</x:v>
      </x:c>
      <x:c r="H20" s="36" t="n">
        <x:v>-43</x:v>
      </x:c>
      <x:c r="I20" s="36" t="n">
        <x:v>-45</x:v>
      </x:c>
      <x:c r="J20" s="36" t="n">
        <x:v>-47</x:v>
      </x:c>
      <x:c r="K20" s="36" t="n">
        <x:v>-50</x:v>
      </x:c>
      <x:c r="L20" s="36" t="n">
        <x:v>-52</x:v>
      </x:c>
      <x:c r="M20" s="36" t="n">
        <x:v>-55</x:v>
      </x:c>
      <x:c r="N20" s="36" t="n">
        <x:v>-58</x:v>
      </x:c>
      <x:c r="O20" s="36" t="n">
        <x:v>-61</x:v>
      </x:c>
      <x:c r="P20" s="36" t="n">
        <x:f>SUM(D20:O20)</x:f>
        <x:v>-563</x:v>
      </x:c>
      <x:c r="Q20" s="36" t="n">
        <x:f>AVERAGE(D20:O20)</x:f>
        <x:v>-46.916666666666664</x:v>
      </x:c>
      <x:c r="R20" s="27" t="str">
        <x:v>Income tax</x:v>
      </x:c>
    </x:row>
    <x:row r="21">
      <x:c r="A21" s="27" t="str">
        <x:v>NET_PROFIT</x:v>
      </x:c>
      <x:c r="B21" s="27" t="str">
        <x:v>Sof foyda</x:v>
      </x:c>
      <x:c r="C21" s="27" t="str">
        <x:v>Profit</x:v>
      </x:c>
      <x:c r="D21" s="36" t="n">
        <x:f>D18+D19+D20</x:f>
        <x:v>310</x:v>
      </x:c>
      <x:c r="E21" s="36" t="n">
        <x:f>E18+E19+E20</x:f>
        <x:v>323</x:v>
      </x:c>
      <x:c r="F21" s="36" t="n">
        <x:f>F18+F19+F20</x:f>
        <x:v>332</x:v>
      </x:c>
      <x:c r="G21" s="36" t="n">
        <x:f>G18+G19+G20</x:f>
        <x:v>341</x:v>
      </x:c>
      <x:c r="H21" s="36" t="n">
        <x:f>H18+H19+H20</x:f>
        <x:v>350</x:v>
      </x:c>
      <x:c r="I21" s="36" t="n">
        <x:f>I18+I19+I20</x:f>
        <x:v>364</x:v>
      </x:c>
      <x:c r="J21" s="36" t="n">
        <x:f>J18+J19+J20</x:f>
        <x:v>377</x:v>
      </x:c>
      <x:c r="K21" s="36" t="n">
        <x:f>K18+K19+K20</x:f>
        <x:v>391</x:v>
      </x:c>
      <x:c r="L21" s="36" t="n">
        <x:f>L18+L19+L20</x:f>
        <x:v>405</x:v>
      </x:c>
      <x:c r="M21" s="36" t="n">
        <x:f>M18+M19+M20</x:f>
        <x:v>416</x:v>
      </x:c>
      <x:c r="N21" s="36" t="n">
        <x:f>N18+N19+N20</x:f>
        <x:v>428</x:v>
      </x:c>
      <x:c r="O21" s="36" t="n">
        <x:f>O18+O19+O20</x:f>
        <x:v>446</x:v>
      </x:c>
      <x:c r="P21" s="36" t="n">
        <x:f>SUM(D21:O21)</x:f>
        <x:v>4483</x:v>
      </x:c>
      <x:c r="Q21" s="36" t="n">
        <x:f>AVERAGE(D21:O21)</x:f>
        <x:v>373.5833333333333</x:v>
      </x:c>
      <x:c r="R21" s="27" t="str">
        <x:v>Formula: EBIT + finance cost + tax</x:v>
      </x:c>
    </x:row>
  </x:sheetData>
  <x:mergeCells>
    <x:mergeCell ref="A1:R1"/>
  </x:mergeCells>
  <x:conditionalFormatting sqref="D6:Q21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35" hidden="0" customWidth="1"/>
  </x:cols>
  <x:sheetData>
    <x:row r="1" ht="30" customHeight="1">
      <x:c r="A1" s="10" t="str">
        <x:v>Balance Sheet — Merged Header / Sectioned Layout</x:v>
      </x:c>
      <x:c r="B1" s="10"/>
      <x:c r="C1" s="10"/>
      <x:c r="D1" s="10"/>
      <x:c r="E1" s="10"/>
      <x:c r="F1" s="10"/>
      <x:c r="G1" s="10"/>
      <x:c r="H1" s="10"/>
    </x:row>
    <x:row r="4" ht="22" customHeight="1">
      <x:c r="A4" s="20" t="str">
        <x:v>section</x:v>
      </x:c>
      <x:c r="B4" s="20" t="str">
        <x:v>attribute_code</x:v>
      </x:c>
      <x:c r="C4" s="20" t="str">
        <x:v>line_item</x:v>
      </x:c>
      <x:c r="D4" s="20" t="str">
        <x:v>current_period</x:v>
      </x:c>
      <x:c r="E4" s="20" t="str">
        <x:v>prior_period</x:v>
      </x:c>
      <x:c r="F4" s="20" t="str">
        <x:v>delta</x:v>
      </x:c>
      <x:c r="G4" s="20" t="str">
        <x:v>delta_pct</x:v>
      </x:c>
      <x:c r="H4" s="20" t="str">
        <x:v>note</x:v>
      </x:c>
    </x:row>
    <x:row r="5" ht="22" customHeight="1">
      <x:c r="A5" s="40" t="str">
        <x:v>ASSETS</x:v>
      </x:c>
      <x:c r="B5" s="40"/>
      <x:c r="C5" s="40"/>
      <x:c r="D5" s="40"/>
      <x:c r="E5" s="40"/>
      <x:c r="F5" s="40"/>
      <x:c r="G5" s="40"/>
      <x:c r="H5" s="40"/>
    </x:row>
    <x:row r="6">
      <x:c r="A6" t="str">
        <x:v>Current assets</x:v>
      </x:c>
      <x:c r="B6" t="str">
        <x:v>CASH</x:v>
      </x:c>
      <x:c r="C6" t="str">
        <x:v>Pul mablag'lari</x:v>
      </x:c>
      <x:c r="D6" s="50" t="n">
        <x:v>1245</x:v>
      </x:c>
      <x:c r="E6" s="50" t="n">
        <x:v>980</x:v>
      </x:c>
      <x:c r="F6" s="50" t="n">
        <x:f>D6-E6</x:f>
        <x:v>265</x:v>
      </x:c>
      <x:c r="G6" s="54" t="n">
        <x:f>IFERROR(F6/E6,0)</x:f>
        <x:v>0.27040816326530615</x:v>
      </x:c>
      <x:c r="H6" t="str">
        <x:v>Latest current cash balance</x:v>
      </x:c>
    </x:row>
    <x:row r="7">
      <x:c r="A7" t="str">
        <x:v>Current assets</x:v>
      </x:c>
      <x:c r="B7" t="str">
        <x:v>AR</x:v>
      </x:c>
      <x:c r="C7" t="str">
        <x:v>Debitor qarzdorlik</x:v>
      </x:c>
      <x:c r="D7" s="50" t="n">
        <x:v>820</x:v>
      </x:c>
      <x:c r="E7" s="50" t="n">
        <x:v>760</x:v>
      </x:c>
      <x:c r="F7" s="50" t="n">
        <x:f>D7-E7</x:f>
        <x:v>60</x:v>
      </x:c>
      <x:c r="G7" s="54" t="n">
        <x:f>IFERROR(F7/E7,0)</x:f>
        <x:v>0.07894736842105263</x:v>
      </x:c>
      <x:c r="H7" t="str">
        <x:v>Trade receivables</x:v>
      </x:c>
    </x:row>
    <x:row r="8">
      <x:c r="A8" t="str">
        <x:v>Current assets</x:v>
      </x:c>
      <x:c r="B8" t="str">
        <x:v>INVENTORY</x:v>
      </x:c>
      <x:c r="C8" t="str">
        <x:v>Tovar-moddiy zaxiralar</x:v>
      </x:c>
      <x:c r="D8" s="50" t="n">
        <x:v>1410</x:v>
      </x:c>
      <x:c r="E8" s="50" t="n">
        <x:v>1288</x:v>
      </x:c>
      <x:c r="F8" s="50" t="n">
        <x:f>D8-E8</x:f>
        <x:v>122</x:v>
      </x:c>
      <x:c r="G8" s="54" t="n">
        <x:f>IFERROR(F8/E8,0)</x:f>
        <x:v>0.09472049689440994</x:v>
      </x:c>
      <x:c r="H8" t="str">
        <x:v>Inventory</x:v>
      </x:c>
    </x:row>
    <x:row r="9">
      <x:c r="A9" t="str">
        <x:v>Subtotal</x:v>
      </x:c>
      <x:c r="B9" t="str">
        <x:v>CURRENT_ASSETS</x:v>
      </x:c>
      <x:c r="C9" t="str">
        <x:v>Jami joriy aktivlar</x:v>
      </x:c>
      <x:c r="D9" s="50" t="n">
        <x:f>SUM(D6:D8)</x:f>
        <x:v>3475</x:v>
      </x:c>
      <x:c r="E9" s="50" t="n">
        <x:f>SUM(E6:E8)</x:f>
        <x:v>3028</x:v>
      </x:c>
      <x:c r="F9" s="50" t="n">
        <x:f>D9-E9</x:f>
        <x:v>447</x:v>
      </x:c>
      <x:c r="G9" s="54" t="n">
        <x:f>IFERROR(F9/E9,0)</x:f>
        <x:v>0.1476221928665786</x:v>
      </x:c>
      <x:c r="H9" t="str">
        <x:v>Formula subtotal</x:v>
      </x:c>
    </x:row>
    <x:row r="10">
      <x:c r="A10" t="str">
        <x:v>Non-current assets</x:v>
      </x:c>
      <x:c r="B10" t="str">
        <x:v>PPE</x:v>
      </x:c>
      <x:c r="C10" t="str">
        <x:v>Asosiy vositalar</x:v>
      </x:c>
      <x:c r="D10" s="50" t="n">
        <x:v>3560</x:v>
      </x:c>
      <x:c r="E10" s="50" t="n">
        <x:v>3390</x:v>
      </x:c>
      <x:c r="F10" s="50" t="n">
        <x:f>D10-E10</x:f>
        <x:v>170</x:v>
      </x:c>
      <x:c r="G10" s="54" t="n">
        <x:f>IFERROR(F10/E10,0)</x:f>
        <x:v>0.05014749262536873</x:v>
      </x:c>
      <x:c r="H10" t="str">
        <x:v>Net PP&amp;E</x:v>
      </x:c>
    </x:row>
    <x:row r="11">
      <x:c r="A11" t="str">
        <x:v>Subtotal</x:v>
      </x:c>
      <x:c r="B11" t="str">
        <x:v>TOTAL_ASSETS</x:v>
      </x:c>
      <x:c r="C11" t="str">
        <x:v>Jami aktivlar</x:v>
      </x:c>
      <x:c r="D11" s="50" t="n">
        <x:f>D9+D10</x:f>
        <x:v>7035</x:v>
      </x:c>
      <x:c r="E11" s="50" t="n">
        <x:f>E9+E10</x:f>
        <x:v>6418</x:v>
      </x:c>
      <x:c r="F11" s="50" t="n">
        <x:f>D11-E11</x:f>
        <x:v>617</x:v>
      </x:c>
      <x:c r="G11" s="54" t="n">
        <x:f>IFERROR(F11/E11,0)</x:f>
        <x:v>0.09613586787161109</x:v>
      </x:c>
      <x:c r="H11" t="str">
        <x:v>Formula subtotal</x:v>
      </x:c>
    </x:row>
    <x:row r="12" ht="22" customHeight="1">
      <x:c r="A12" s="46" t="str">
        <x:v>LIABILITIES AND EQUITY</x:v>
      </x:c>
      <x:c r="B12" s="46"/>
      <x:c r="C12" s="46"/>
      <x:c r="D12" s="51"/>
      <x:c r="E12" s="51"/>
      <x:c r="F12" s="51"/>
      <x:c r="G12" s="55"/>
      <x:c r="H12" s="46"/>
    </x:row>
    <x:row r="13">
      <x:c r="A13" t="str">
        <x:v>Liabilities</x:v>
      </x:c>
      <x:c r="B13" t="str">
        <x:v>AP</x:v>
      </x:c>
      <x:c r="C13" t="str">
        <x:v>Kreditor qarzdorlik</x:v>
      </x:c>
      <x:c r="D13" s="50" t="n">
        <x:v>690</x:v>
      </x:c>
      <x:c r="E13" s="50" t="n">
        <x:v>610</x:v>
      </x:c>
      <x:c r="F13" s="50" t="n">
        <x:f>D13-E13</x:f>
        <x:v>80</x:v>
      </x:c>
      <x:c r="G13" s="54" t="n">
        <x:f>IFERROR(F13/E13,0)</x:f>
        <x:v>0.13114754098360656</x:v>
      </x:c>
      <x:c r="H13" t="str">
        <x:v>Trade payables</x:v>
      </x:c>
    </x:row>
    <x:row r="14">
      <x:c r="A14" t="str">
        <x:v>Liabilities</x:v>
      </x:c>
      <x:c r="B14" t="str">
        <x:v>BANK_LOANS</x:v>
      </x:c>
      <x:c r="C14" t="str">
        <x:v>Bank kreditlari</x:v>
      </x:c>
      <x:c r="D14" s="50" t="n">
        <x:v>1820</x:v>
      </x:c>
      <x:c r="E14" s="50" t="n">
        <x:v>1610</x:v>
      </x:c>
      <x:c r="F14" s="50" t="n">
        <x:f>D14-E14</x:f>
        <x:v>210</x:v>
      </x:c>
      <x:c r="G14" s="54" t="n">
        <x:f>IFERROR(F14/E14,0)</x:f>
        <x:v>0.13043478260869565</x:v>
      </x:c>
      <x:c r="H14" t="str">
        <x:v>Short/long-term bank loans</x:v>
      </x:c>
    </x:row>
    <x:row r="15">
      <x:c r="A15" t="str">
        <x:v>Subtotal</x:v>
      </x:c>
      <x:c r="B15" t="str">
        <x:v>TOTAL_LIABILITIES</x:v>
      </x:c>
      <x:c r="C15" t="str">
        <x:v>Jami majburiyatlar</x:v>
      </x:c>
      <x:c r="D15" s="50" t="n">
        <x:f>SUM(D13:D14)</x:f>
        <x:v>2510</x:v>
      </x:c>
      <x:c r="E15" s="50" t="n">
        <x:f>SUM(E13:E14)</x:f>
        <x:v>2220</x:v>
      </x:c>
      <x:c r="F15" s="50" t="n">
        <x:f>D15-E15</x:f>
        <x:v>290</x:v>
      </x:c>
      <x:c r="G15" s="54" t="n">
        <x:f>IFERROR(F15/E15,0)</x:f>
        <x:v>0.13063063063063063</x:v>
      </x:c>
      <x:c r="H15" t="str">
        <x:v>Formula subtotal</x:v>
      </x:c>
    </x:row>
    <x:row r="16">
      <x:c r="A16" t="str">
        <x:v>Equity</x:v>
      </x:c>
      <x:c r="B16" t="str">
        <x:v>SHARE_CAPITAL</x:v>
      </x:c>
      <x:c r="C16" t="str">
        <x:v>Ustav kapitali</x:v>
      </x:c>
      <x:c r="D16" s="50" t="n">
        <x:v>900</x:v>
      </x:c>
      <x:c r="E16" s="50" t="n">
        <x:v>900</x:v>
      </x:c>
      <x:c r="F16" s="50" t="n">
        <x:f>D16-E16</x:f>
        <x:v>0</x:v>
      </x:c>
      <x:c r="G16" s="54" t="n">
        <x:f>IFERROR(F16/E16,0)</x:f>
        <x:v>0</x:v>
      </x:c>
      <x:c r="H16" t="str">
        <x:v>Share capital</x:v>
      </x:c>
    </x:row>
    <x:row r="17">
      <x:c r="A17" t="str">
        <x:v>Equity</x:v>
      </x:c>
      <x:c r="B17" t="str">
        <x:v>RETAINED_EARNINGS</x:v>
      </x:c>
      <x:c r="C17" t="str">
        <x:v>Taqsimlanmagan foyda</x:v>
      </x:c>
      <x:c r="D17" s="50" t="n">
        <x:v>1625</x:v>
      </x:c>
      <x:c r="E17" s="50" t="n">
        <x:v>1298</x:v>
      </x:c>
      <x:c r="F17" s="50" t="n">
        <x:f>D17-E17</x:f>
        <x:v>327</x:v>
      </x:c>
      <x:c r="G17" s="54" t="n">
        <x:f>IFERROR(F17/E17,0)</x:f>
        <x:v>0.25192604006163327</x:v>
      </x:c>
      <x:c r="H17" t="str">
        <x:v>Retained earnings</x:v>
      </x:c>
    </x:row>
    <x:row r="18">
      <x:c r="A18" t="str">
        <x:v>Subtotal</x:v>
      </x:c>
      <x:c r="B18" t="str">
        <x:v>TOTAL_EQUITY</x:v>
      </x:c>
      <x:c r="C18" t="str">
        <x:v>Jami kapital</x:v>
      </x:c>
      <x:c r="D18" s="50" t="n">
        <x:f>SUM(D16:D17)</x:f>
        <x:v>2525</x:v>
      </x:c>
      <x:c r="E18" s="50" t="n">
        <x:f>SUM(E16:E17)</x:f>
        <x:v>2198</x:v>
      </x:c>
      <x:c r="F18" s="50" t="n">
        <x:f>D18-E18</x:f>
        <x:v>327</x:v>
      </x:c>
      <x:c r="G18" s="54" t="n">
        <x:f>IFERROR(F18/E18,0)</x:f>
        <x:v>0.14877161055505003</x:v>
      </x:c>
      <x:c r="H18" t="str">
        <x:v>Formula subtotal</x:v>
      </x:c>
    </x:row>
    <x:row r="19">
      <x:c r="A19" t="str">
        <x:v>Check</x:v>
      </x:c>
      <x:c r="B19" t="str">
        <x:v>TOTAL_LIAB_EQUITY</x:v>
      </x:c>
      <x:c r="C19" t="str">
        <x:v>Majburiyatlar + Kapital</x:v>
      </x:c>
      <x:c r="D19" s="50" t="n">
        <x:f>D15+D18</x:f>
        <x:v>5035</x:v>
      </x:c>
      <x:c r="E19" s="50" t="n">
        <x:f>E15+E18</x:f>
        <x:v>4418</x:v>
      </x:c>
      <x:c r="F19" s="50" t="n">
        <x:f>D19-E19</x:f>
        <x:v>617</x:v>
      </x:c>
      <x:c r="G19" s="54" t="n">
        <x:f>IFERROR(F19/E19,0)</x:f>
        <x:v>0.13965595291987323</x:v>
      </x:c>
      <x:c r="H19" t="str">
        <x:v>Should equal TOTAL_ASSETS</x:v>
      </x:c>
    </x:row>
    <x:row r="20">
      <x:c r="D20" s="50"/>
      <x:c r="E20" s="50"/>
      <x:c r="F20" s="50"/>
      <x:c r="G20" s="54"/>
    </x:row>
  </x:sheetData>
  <x:mergeCells>
    <x:mergeCell ref="A1:H1"/>
    <x:mergeCell ref="A5:H5"/>
    <x:mergeCell ref="A12:H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12" hidden="0" customWidth="1"/>
    <x:col min="5" max="5" width="14" hidden="0" customWidth="1"/>
    <x:col min="6" max="6" width="10" hidden="0" customWidth="1"/>
    <x:col min="7" max="7" width="10" hidden="0" customWidth="1"/>
    <x:col min="8" max="8" width="20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2" hidden="0" customWidth="1"/>
    <x:col min="14" max="14" width="34" hidden="0" customWidth="1"/>
    <x:col min="15" max="15" width="20" hidden="0" customWidth="1"/>
  </x:cols>
  <x:sheetData>
    <x:row r="1" ht="30" customHeight="1">
      <x:c r="A1" s="10" t="str">
        <x:v>Attribute Version History — SCD Type 2 Test Data</x:v>
      </x:c>
      <x:c r="B1" s="10"/>
      <x:c r="C1" s="10"/>
      <x:c r="D1" s="10"/>
      <x:c r="E1" s="34"/>
      <x:c r="F1" s="10"/>
      <x:c r="G1" s="10"/>
      <x:c r="H1" s="10"/>
      <x:c r="I1" s="10"/>
      <x:c r="J1" s="10"/>
      <x:c r="K1" s="32"/>
      <x:c r="L1" s="32"/>
      <x:c r="M1" s="10"/>
      <x:c r="N1" s="10"/>
      <x:c r="O1" s="10"/>
    </x:row>
    <x:row r="4" ht="22" customHeight="1">
      <x:c r="A4" s="20" t="str">
        <x:v>attribute_code</x:v>
      </x:c>
      <x:c r="B4" s="20" t="str">
        <x:v>attribute_name_uz</x:v>
      </x:c>
      <x:c r="C4" s="20" t="str">
        <x:v>entity</x:v>
      </x:c>
      <x:c r="D4" s="20" t="str">
        <x:v>period</x:v>
      </x:c>
      <x:c r="E4" s="20" t="str">
        <x:v>value</x:v>
      </x:c>
      <x:c r="F4" s="20" t="str">
        <x:v>currency</x:v>
      </x:c>
      <x:c r="G4" s="20" t="str">
        <x:v>unit</x:v>
      </x:c>
      <x:c r="H4" s="20" t="str">
        <x:v>source_sheet</x:v>
      </x:c>
      <x:c r="I4" s="20" t="str">
        <x:v>source_cell</x:v>
      </x:c>
      <x:c r="J4" s="20" t="str">
        <x:v>version_no</x:v>
      </x:c>
      <x:c r="K4" s="20" t="str">
        <x:v>effective_from</x:v>
      </x:c>
      <x:c r="L4" s="20" t="str">
        <x:v>effective_to</x:v>
      </x:c>
      <x:c r="M4" s="20" t="str">
        <x:v>is_current</x:v>
      </x:c>
      <x:c r="N4" s="20" t="str">
        <x:v>change_reason</x:v>
      </x:c>
      <x:c r="O4" s="20" t="str">
        <x:v>changed_by</x:v>
      </x:c>
    </x:row>
    <x:row r="5">
      <x:c r="A5" s="27" t="str">
        <x:v>REV_TOTAL</x:v>
      </x:c>
      <x:c r="B5" s="27" t="str">
        <x:v>Jami tushum</x:v>
      </x:c>
      <x:c r="C5" s="27" t="str">
        <x:v>Demo Moliya MChJ</x:v>
      </x:c>
      <x:c r="D5" s="27" t="str">
        <x:v>FY-2025</x:v>
      </x:c>
      <x:c r="E5" s="27" t="n">
        <x:v>12350</x:v>
      </x:c>
      <x:c r="F5" s="27" t="str">
        <x:v>UZS</x:v>
      </x:c>
      <x:c r="G5" s="27" t="str">
        <x:v>million</x:v>
      </x:c>
      <x:c r="H5" s="27" t="str">
        <x:v>PnL_Wide_Monthly</x:v>
      </x:c>
      <x:c r="I5" s="27" t="str">
        <x:v>P8</x:v>
      </x:c>
      <x:c r="J5" s="27" t="n">
        <x:v>1</x:v>
      </x:c>
      <x:c r="K5" s="27" t="n">
        <x:v>46027</x:v>
      </x:c>
      <x:c r="L5" s="27" t="n">
        <x:v>46063</x:v>
      </x:c>
      <x:c r="M5" s="61" t="b">
        <x:v>0</x:v>
      </x:c>
      <x:c r="N5" s="27" t="str">
        <x:v>Initial upload</x:v>
      </x:c>
      <x:c r="O5" s="27" t="str">
        <x:v>finance.manager</x:v>
      </x:c>
    </x:row>
    <x:row r="6">
      <x:c r="A6" s="27" t="str">
        <x:v>REV_TOTAL</x:v>
      </x:c>
      <x:c r="B6" s="27" t="str">
        <x:v>Jami tushum</x:v>
      </x:c>
      <x:c r="C6" s="27" t="str">
        <x:v>Demo Moliya MChJ</x:v>
      </x:c>
      <x:c r="D6" s="27" t="str">
        <x:v>FY-2025</x:v>
      </x:c>
      <x:c r="E6" s="27" t="n">
        <x:v>12430</x:v>
      </x:c>
      <x:c r="F6" s="27" t="str">
        <x:v>UZS</x:v>
      </x:c>
      <x:c r="G6" s="27" t="str">
        <x:v>million</x:v>
      </x:c>
      <x:c r="H6" s="27" t="str">
        <x:v>PnL_Wide_Monthly</x:v>
      </x:c>
      <x:c r="I6" s="27" t="str">
        <x:v>P8</x:v>
      </x:c>
      <x:c r="J6" s="27" t="n">
        <x:v>2</x:v>
      </x:c>
      <x:c r="K6" s="27" t="n">
        <x:v>46063</x:v>
      </x:c>
      <x:c r="L6" s="27"/>
      <x:c r="M6" s="61" t="b">
        <x:v>1</x:v>
      </x:c>
      <x:c r="N6" s="27" t="str">
        <x:v>Export invoices corrected</x:v>
      </x:c>
      <x:c r="O6" s="27" t="str">
        <x:v>finance.controller</x:v>
      </x:c>
    </x:row>
    <x:row r="7">
      <x:c r="A7" s="27" t="str">
        <x:v>COGS_TOTAL</x:v>
      </x:c>
      <x:c r="B7" s="27" t="str">
        <x:v>Jami tannarx</x:v>
      </x:c>
      <x:c r="C7" s="27" t="str">
        <x:v>Demo Moliya MChJ</x:v>
      </x:c>
      <x:c r="D7" s="27" t="str">
        <x:v>FY-2025</x:v>
      </x:c>
      <x:c r="E7" s="27" t="n">
        <x:v>-6250</x:v>
      </x:c>
      <x:c r="F7" s="27" t="str">
        <x:v>UZS</x:v>
      </x:c>
      <x:c r="G7" s="27" t="str">
        <x:v>million</x:v>
      </x:c>
      <x:c r="H7" s="27" t="str">
        <x:v>PnL_Wide_Monthly</x:v>
      </x:c>
      <x:c r="I7" s="27" t="str">
        <x:v>P11</x:v>
      </x:c>
      <x:c r="J7" s="27" t="n">
        <x:v>1</x:v>
      </x:c>
      <x:c r="K7" s="27" t="n">
        <x:v>46027</x:v>
      </x:c>
      <x:c r="L7" s="27" t="n">
        <x:v>46061</x:v>
      </x:c>
      <x:c r="M7" s="61" t="b">
        <x:v>0</x:v>
      </x:c>
      <x:c r="N7" s="27" t="str">
        <x:v>Initial upload</x:v>
      </x:c>
      <x:c r="O7" s="27" t="str">
        <x:v>finance.manager</x:v>
      </x:c>
    </x:row>
    <x:row r="8">
      <x:c r="A8" s="27" t="str">
        <x:v>COGS_TOTAL</x:v>
      </x:c>
      <x:c r="B8" s="27" t="str">
        <x:v>Jami tannarx</x:v>
      </x:c>
      <x:c r="C8" s="27" t="str">
        <x:v>Demo Moliya MChJ</x:v>
      </x:c>
      <x:c r="D8" s="27" t="str">
        <x:v>FY-2025</x:v>
      </x:c>
      <x:c r="E8" s="27" t="n">
        <x:v>-6316</x:v>
      </x:c>
      <x:c r="F8" s="27" t="str">
        <x:v>UZS</x:v>
      </x:c>
      <x:c r="G8" s="27" t="str">
        <x:v>million</x:v>
      </x:c>
      <x:c r="H8" s="27" t="str">
        <x:v>PnL_Wide_Monthly</x:v>
      </x:c>
      <x:c r="I8" s="27" t="str">
        <x:v>P11</x:v>
      </x:c>
      <x:c r="J8" s="27" t="n">
        <x:v>2</x:v>
      </x:c>
      <x:c r="K8" s="27" t="n">
        <x:v>46061</x:v>
      </x:c>
      <x:c r="L8" s="27"/>
      <x:c r="M8" s="61" t="b">
        <x:v>1</x:v>
      </x:c>
      <x:c r="N8" s="27" t="str">
        <x:v>Production cost accrual added</x:v>
      </x:c>
      <x:c r="O8" s="27" t="str">
        <x:v>finance.controller</x:v>
      </x:c>
    </x:row>
    <x:row r="9">
      <x:c r="A9" s="27" t="str">
        <x:v>EBITDA</x:v>
      </x:c>
      <x:c r="B9" s="27" t="str">
        <x:v>EBITDA</x:v>
      </x:c>
      <x:c r="C9" s="27" t="str">
        <x:v>Demo Moliya MChJ</x:v>
      </x:c>
      <x:c r="D9" s="27" t="str">
        <x:v>FY-2025</x:v>
      </x:c>
      <x:c r="E9" s="27" t="n">
        <x:v>3655</x:v>
      </x:c>
      <x:c r="F9" s="27" t="str">
        <x:v>UZS</x:v>
      </x:c>
      <x:c r="G9" s="27" t="str">
        <x:v>million</x:v>
      </x:c>
      <x:c r="H9" s="27" t="str">
        <x:v>PnL_Wide_Monthly</x:v>
      </x:c>
      <x:c r="I9" s="27" t="str">
        <x:v>P16</x:v>
      </x:c>
      <x:c r="J9" s="27" t="n">
        <x:v>1</x:v>
      </x:c>
      <x:c r="K9" s="27" t="n">
        <x:v>46027</x:v>
      </x:c>
      <x:c r="L9" s="27" t="n">
        <x:v>46063</x:v>
      </x:c>
      <x:c r="M9" s="61" t="b">
        <x:v>0</x:v>
      </x:c>
      <x:c r="N9" s="27" t="str">
        <x:v>Initial calculated value</x:v>
      </x:c>
      <x:c r="O9" s="27" t="str">
        <x:v>system</x:v>
      </x:c>
    </x:row>
    <x:row r="10">
      <x:c r="A10" s="27" t="str">
        <x:v>EBITDA</x:v>
      </x:c>
      <x:c r="B10" s="27" t="str">
        <x:v>EBITDA</x:v>
      </x:c>
      <x:c r="C10" s="27" t="str">
        <x:v>Demo Moliya MChJ</x:v>
      </x:c>
      <x:c r="D10" s="27" t="str">
        <x:v>FY-2025</x:v>
      </x:c>
      <x:c r="E10" s="27" t="n">
        <x:v>3582</x:v>
      </x:c>
      <x:c r="F10" s="27" t="str">
        <x:v>UZS</x:v>
      </x:c>
      <x:c r="G10" s="27" t="str">
        <x:v>million</x:v>
      </x:c>
      <x:c r="H10" s="27" t="str">
        <x:v>PnL_Wide_Monthly</x:v>
      </x:c>
      <x:c r="I10" s="27" t="str">
        <x:v>P16</x:v>
      </x:c>
      <x:c r="J10" s="27" t="n">
        <x:v>2</x:v>
      </x:c>
      <x:c r="K10" s="27" t="n">
        <x:v>46063</x:v>
      </x:c>
      <x:c r="L10" s="27"/>
      <x:c r="M10" s="61" t="b">
        <x:v>1</x:v>
      </x:c>
      <x:c r="N10" s="27" t="str">
        <x:v>Recalculated after revenue/cost correction</x:v>
      </x:c>
      <x:c r="O10" s="27" t="str">
        <x:v>system</x:v>
      </x:c>
    </x:row>
    <x:row r="11">
      <x:c r="A11" s="27" t="str">
        <x:v>NET_PROFIT</x:v>
      </x:c>
      <x:c r="B11" s="27" t="str">
        <x:v>Sof foyda</x:v>
      </x:c>
      <x:c r="C11" s="27" t="str">
        <x:v>Demo Moliya MChJ</x:v>
      </x:c>
      <x:c r="D11" s="27" t="str">
        <x:v>FY-2025</x:v>
      </x:c>
      <x:c r="E11" s="27" t="n">
        <x:v>2475</x:v>
      </x:c>
      <x:c r="F11" s="27" t="str">
        <x:v>UZS</x:v>
      </x:c>
      <x:c r="G11" s="27" t="str">
        <x:v>million</x:v>
      </x:c>
      <x:c r="H11" s="27" t="str">
        <x:v>PnL_Wide_Monthly</x:v>
      </x:c>
      <x:c r="I11" s="27" t="str">
        <x:v>P21</x:v>
      </x:c>
      <x:c r="J11" s="27" t="n">
        <x:v>1</x:v>
      </x:c>
      <x:c r="K11" s="27" t="n">
        <x:v>46027</x:v>
      </x:c>
      <x:c r="L11" s="27" t="n">
        <x:v>46063</x:v>
      </x:c>
      <x:c r="M11" s="61" t="b">
        <x:v>0</x:v>
      </x:c>
      <x:c r="N11" s="27" t="str">
        <x:v>Initial calculated value</x:v>
      </x:c>
      <x:c r="O11" s="27" t="str">
        <x:v>system</x:v>
      </x:c>
    </x:row>
    <x:row r="12">
      <x:c r="A12" s="27" t="str">
        <x:v>NET_PROFIT</x:v>
      </x:c>
      <x:c r="B12" s="27" t="str">
        <x:v>Sof foyda</x:v>
      </x:c>
      <x:c r="C12" s="27" t="str">
        <x:v>Demo Moliya MChJ</x:v>
      </x:c>
      <x:c r="D12" s="27" t="str">
        <x:v>FY-2025</x:v>
      </x:c>
      <x:c r="E12" s="27" t="n">
        <x:v>2381</x:v>
      </x:c>
      <x:c r="F12" s="27" t="str">
        <x:v>UZS</x:v>
      </x:c>
      <x:c r="G12" s="27" t="str">
        <x:v>million</x:v>
      </x:c>
      <x:c r="H12" s="27" t="str">
        <x:v>PnL_Wide_Monthly</x:v>
      </x:c>
      <x:c r="I12" s="27" t="str">
        <x:v>P21</x:v>
      </x:c>
      <x:c r="J12" s="27" t="n">
        <x:v>2</x:v>
      </x:c>
      <x:c r="K12" s="27" t="n">
        <x:v>46063</x:v>
      </x:c>
      <x:c r="L12" s="27"/>
      <x:c r="M12" s="61" t="b">
        <x:v>1</x:v>
      </x:c>
      <x:c r="N12" s="27" t="str">
        <x:v>Final tax review</x:v>
      </x:c>
      <x:c r="O12" s="27" t="str">
        <x:v>finance.controller</x:v>
      </x:c>
    </x:row>
    <x:row r="13">
      <x:c r="A13" s="27" t="str">
        <x:v>CASH</x:v>
      </x:c>
      <x:c r="B13" s="27" t="str">
        <x:v>Pul mablag'lari</x:v>
      </x:c>
      <x:c r="C13" s="27" t="str">
        <x:v>Demo Moliya MChJ</x:v>
      </x:c>
      <x:c r="D13" s="27" t="str">
        <x:v>FY-2025</x:v>
      </x:c>
      <x:c r="E13" s="27" t="n">
        <x:v>980</x:v>
      </x:c>
      <x:c r="F13" s="27" t="str">
        <x:v>UZS</x:v>
      </x:c>
      <x:c r="G13" s="27" t="str">
        <x:v>million</x:v>
      </x:c>
      <x:c r="H13" s="27" t="str">
        <x:v>BS_MergedHeaders</x:v>
      </x:c>
      <x:c r="I13" s="27" t="str">
        <x:v>D6</x:v>
      </x:c>
      <x:c r="J13" s="27" t="n">
        <x:v>1</x:v>
      </x:c>
      <x:c r="K13" s="27" t="n">
        <x:v>46027</x:v>
      </x:c>
      <x:c r="L13" s="27" t="n">
        <x:v>46082</x:v>
      </x:c>
      <x:c r="M13" s="61" t="b">
        <x:v>0</x:v>
      </x:c>
      <x:c r="N13" s="27" t="str">
        <x:v>Bank statements incomplete</x:v>
      </x:c>
      <x:c r="O13" s="27" t="str">
        <x:v>treasury</x:v>
      </x:c>
    </x:row>
    <x:row r="14">
      <x:c r="A14" s="27" t="str">
        <x:v>CASH</x:v>
      </x:c>
      <x:c r="B14" s="27" t="str">
        <x:v>Pul mablag'lari</x:v>
      </x:c>
      <x:c r="C14" s="27" t="str">
        <x:v>Demo Moliya MChJ</x:v>
      </x:c>
      <x:c r="D14" s="27" t="str">
        <x:v>FY-2025</x:v>
      </x:c>
      <x:c r="E14" s="27" t="n">
        <x:v>1245</x:v>
      </x:c>
      <x:c r="F14" s="27" t="str">
        <x:v>UZS</x:v>
      </x:c>
      <x:c r="G14" s="27" t="str">
        <x:v>million</x:v>
      </x:c>
      <x:c r="H14" s="27" t="str">
        <x:v>BS_MergedHeaders</x:v>
      </x:c>
      <x:c r="I14" s="27" t="str">
        <x:v>D6</x:v>
      </x:c>
      <x:c r="J14" s="27" t="n">
        <x:v>2</x:v>
      </x:c>
      <x:c r="K14" s="27" t="n">
        <x:v>46082</x:v>
      </x:c>
      <x:c r="L14" s="27"/>
      <x:c r="M14" s="61" t="b">
        <x:v>1</x:v>
      </x:c>
      <x:c r="N14" s="27" t="str">
        <x:v>Bank reconciliation completed</x:v>
      </x:c>
      <x:c r="O14" s="27" t="str">
        <x:v>treasury</x:v>
      </x:c>
    </x:row>
    <x:row r="15">
      <x:c r="A15" s="27" t="str">
        <x:v>TOTAL_ASSETS</x:v>
      </x:c>
      <x:c r="B15" s="27" t="str">
        <x:v>Jami aktivlar</x:v>
      </x:c>
      <x:c r="C15" s="27" t="str">
        <x:v>Demo Moliya MChJ</x:v>
      </x:c>
      <x:c r="D15" s="27" t="str">
        <x:v>FY-2025</x:v>
      </x:c>
      <x:c r="E15" s="27" t="n">
        <x:v>7165</x:v>
      </x:c>
      <x:c r="F15" s="27" t="str">
        <x:v>UZS</x:v>
      </x:c>
      <x:c r="G15" s="27" t="str">
        <x:v>million</x:v>
      </x:c>
      <x:c r="H15" s="27" t="str">
        <x:v>BS_MergedHeaders</x:v>
      </x:c>
      <x:c r="I15" s="27" t="str">
        <x:v>D11</x:v>
      </x:c>
      <x:c r="J15" s="27" t="n">
        <x:v>1</x:v>
      </x:c>
      <x:c r="K15" s="27" t="n">
        <x:v>46027</x:v>
      </x:c>
      <x:c r="L15" s="27" t="n">
        <x:v>46082</x:v>
      </x:c>
      <x:c r="M15" s="61" t="b">
        <x:v>0</x:v>
      </x:c>
      <x:c r="N15" s="27" t="str">
        <x:v>Initial upload</x:v>
      </x:c>
      <x:c r="O15" s="27" t="str">
        <x:v>finance.manager</x:v>
      </x:c>
    </x:row>
    <x:row r="16">
      <x:c r="A16" s="27" t="str">
        <x:v>TOTAL_ASSETS</x:v>
      </x:c>
      <x:c r="B16" s="27" t="str">
        <x:v>Jami aktivlar</x:v>
      </x:c>
      <x:c r="C16" s="27" t="str">
        <x:v>Demo Moliya MChJ</x:v>
      </x:c>
      <x:c r="D16" s="27" t="str">
        <x:v>FY-2025</x:v>
      </x:c>
      <x:c r="E16" s="27" t="n">
        <x:v>7835</x:v>
      </x:c>
      <x:c r="F16" s="27" t="str">
        <x:v>UZS</x:v>
      </x:c>
      <x:c r="G16" s="27" t="str">
        <x:v>million</x:v>
      </x:c>
      <x:c r="H16" s="27" t="str">
        <x:v>BS_MergedHeaders</x:v>
      </x:c>
      <x:c r="I16" s="27" t="str">
        <x:v>D11</x:v>
      </x:c>
      <x:c r="J16" s="27" t="n">
        <x:v>2</x:v>
      </x:c>
      <x:c r="K16" s="27" t="n">
        <x:v>46082</x:v>
      </x:c>
      <x:c r="L16" s="27"/>
      <x:c r="M16" s="61" t="b">
        <x:v>1</x:v>
      </x:c>
      <x:c r="N16" s="27" t="str">
        <x:v>Cash and inventory corrected</x:v>
      </x:c>
      <x:c r="O16" s="27" t="str">
        <x:v>finance.controller</x:v>
      </x:c>
    </x:row>
    <x:row r="17">
      <x:c r="A17" s="27" t="str">
        <x:v>TOTAL_LIABILITIES</x:v>
      </x:c>
      <x:c r="B17" s="27" t="str">
        <x:v>Jami majburiyatlar</x:v>
      </x:c>
      <x:c r="C17" s="27" t="str">
        <x:v>Demo Moliya MChJ</x:v>
      </x:c>
      <x:c r="D17" s="27" t="str">
        <x:v>FY-2025</x:v>
      </x:c>
      <x:c r="E17" s="27" t="n">
        <x:v>2360</x:v>
      </x:c>
      <x:c r="F17" s="27" t="str">
        <x:v>UZS</x:v>
      </x:c>
      <x:c r="G17" s="27" t="str">
        <x:v>million</x:v>
      </x:c>
      <x:c r="H17" s="27" t="str">
        <x:v>BS_MergedHeaders</x:v>
      </x:c>
      <x:c r="I17" s="27" t="str">
        <x:v>D15</x:v>
      </x:c>
      <x:c r="J17" s="27" t="n">
        <x:v>1</x:v>
      </x:c>
      <x:c r="K17" s="27" t="n">
        <x:v>46027</x:v>
      </x:c>
      <x:c r="L17" s="27" t="n">
        <x:v>46073</x:v>
      </x:c>
      <x:c r="M17" s="61" t="b">
        <x:v>0</x:v>
      </x:c>
      <x:c r="N17" s="27" t="str">
        <x:v>Initial upload</x:v>
      </x:c>
      <x:c r="O17" s="27" t="str">
        <x:v>finance.manager</x:v>
      </x:c>
    </x:row>
    <x:row r="18">
      <x:c r="A18" s="27" t="str">
        <x:v>TOTAL_LIABILITIES</x:v>
      </x:c>
      <x:c r="B18" s="27" t="str">
        <x:v>Jami majburiyatlar</x:v>
      </x:c>
      <x:c r="C18" s="27" t="str">
        <x:v>Demo Moliya MChJ</x:v>
      </x:c>
      <x:c r="D18" s="27" t="str">
        <x:v>FY-2025</x:v>
      </x:c>
      <x:c r="E18" s="27" t="n">
        <x:v>2510</x:v>
      </x:c>
      <x:c r="F18" s="27" t="str">
        <x:v>UZS</x:v>
      </x:c>
      <x:c r="G18" s="27" t="str">
        <x:v>million</x:v>
      </x:c>
      <x:c r="H18" s="27" t="str">
        <x:v>BS_MergedHeaders</x:v>
      </x:c>
      <x:c r="I18" s="27" t="str">
        <x:v>D15</x:v>
      </x:c>
      <x:c r="J18" s="27" t="n">
        <x:v>2</x:v>
      </x:c>
      <x:c r="K18" s="27" t="n">
        <x:v>46073</x:v>
      </x:c>
      <x:c r="L18" s="27"/>
      <x:c r="M18" s="61" t="b">
        <x:v>1</x:v>
      </x:c>
      <x:c r="N18" s="27" t="str">
        <x:v>Loan balance update</x:v>
      </x:c>
      <x:c r="O18" s="27" t="str">
        <x:v>finance.controller</x:v>
      </x:c>
    </x:row>
    <x:row r="19">
      <x:c r="A19" s="27" t="str">
        <x:v>TOTAL_EQUITY</x:v>
      </x:c>
      <x:c r="B19" s="27" t="str">
        <x:v>Jami kapital</x:v>
      </x:c>
      <x:c r="C19" s="27" t="str">
        <x:v>Demo Moliya MChJ</x:v>
      </x:c>
      <x:c r="D19" s="27" t="str">
        <x:v>FY-2025</x:v>
      </x:c>
      <x:c r="E19" s="27" t="n">
        <x:v>4565</x:v>
      </x:c>
      <x:c r="F19" s="27" t="str">
        <x:v>UZS</x:v>
      </x:c>
      <x:c r="G19" s="27" t="str">
        <x:v>million</x:v>
      </x:c>
      <x:c r="H19" s="27" t="str">
        <x:v>BS_MergedHeaders</x:v>
      </x:c>
      <x:c r="I19" s="27" t="str">
        <x:v>D18</x:v>
      </x:c>
      <x:c r="J19" s="27" t="n">
        <x:v>1</x:v>
      </x:c>
      <x:c r="K19" s="27" t="n">
        <x:v>46027</x:v>
      </x:c>
      <x:c r="L19" s="27" t="n">
        <x:v>46073</x:v>
      </x:c>
      <x:c r="M19" s="61" t="b">
        <x:v>0</x:v>
      </x:c>
      <x:c r="N19" s="27" t="str">
        <x:v>Initial upload</x:v>
      </x:c>
      <x:c r="O19" s="27" t="str">
        <x:v>finance.manager</x:v>
      </x:c>
    </x:row>
    <x:row r="20">
      <x:c r="A20" s="27" t="str">
        <x:v>TOTAL_EQUITY</x:v>
      </x:c>
      <x:c r="B20" s="27" t="str">
        <x:v>Jami kapital</x:v>
      </x:c>
      <x:c r="C20" s="27" t="str">
        <x:v>Demo Moliya MChJ</x:v>
      </x:c>
      <x:c r="D20" s="27" t="str">
        <x:v>FY-2025</x:v>
      </x:c>
      <x:c r="E20" s="27" t="n">
        <x:v>5325</x:v>
      </x:c>
      <x:c r="F20" s="27" t="str">
        <x:v>UZS</x:v>
      </x:c>
      <x:c r="G20" s="27" t="str">
        <x:v>million</x:v>
      </x:c>
      <x:c r="H20" s="27" t="str">
        <x:v>BS_MergedHeaders</x:v>
      </x:c>
      <x:c r="I20" s="27" t="str">
        <x:v>D18</x:v>
      </x:c>
      <x:c r="J20" s="27" t="n">
        <x:v>2</x:v>
      </x:c>
      <x:c r="K20" s="27" t="n">
        <x:v>46073</x:v>
      </x:c>
      <x:c r="L20" s="27"/>
      <x:c r="M20" s="61" t="b">
        <x:v>1</x:v>
      </x:c>
      <x:c r="N20" s="27" t="str">
        <x:v>Retained earnings updated</x:v>
      </x:c>
      <x:c r="O20" s="27" t="str">
        <x:v>finance.controller</x:v>
      </x:c>
    </x:row>
  </x:sheetData>
  <x:mergeCells>
    <x:mergeCell ref="A1:O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24" hidden="0" customWidth="1"/>
    <x:col min="5" max="5" width="12" hidden="0" customWidth="1"/>
    <x:col min="6" max="6" width="18" hidden="0" customWidth="1"/>
    <x:col min="7" max="7" width="16" hidden="0" customWidth="1"/>
    <x:col min="8" max="8" width="42" hidden="0" customWidth="1"/>
  </x:cols>
  <x:sheetData>
    <x:row r="1" ht="30" customHeight="1">
      <x:c r="A1" s="10" t="str">
        <x:v>Report Template Palette — Jasper/BIRT Field Mapping</x:v>
      </x:c>
      <x:c r="B1" s="10"/>
      <x:c r="C1" s="10"/>
      <x:c r="D1" s="10"/>
      <x:c r="E1" s="10"/>
      <x:c r="F1" s="10"/>
      <x:c r="G1" s="10"/>
      <x:c r="H1" s="10"/>
    </x:row>
    <x:row r="4" ht="22" customHeight="1">
      <x:c r="A4" s="20" t="str">
        <x:v>palette_key</x:v>
      </x:c>
      <x:c r="B4" s="20" t="str">
        <x:v>display_name</x:v>
      </x:c>
      <x:c r="C4" s="20" t="str">
        <x:v>jasper_expression</x:v>
      </x:c>
      <x:c r="D4" s="20" t="str">
        <x:v>birt_binding</x:v>
      </x:c>
      <x:c r="E4" s="20" t="str">
        <x:v>data_type</x:v>
      </x:c>
      <x:c r="F4" s="20" t="str">
        <x:v>sample_latest_value</x:v>
      </x:c>
      <x:c r="G4" s="20" t="str">
        <x:v>format_hint</x:v>
      </x:c>
      <x:c r="H4" s="20" t="str">
        <x:v>description</x:v>
      </x:c>
    </x:row>
    <x:row r="5">
      <x:c r="A5" s="27" t="str">
        <x:v>company_name</x:v>
      </x:c>
      <x:c r="B5" s="27" t="str">
        <x:v>Kompaniya nomi</x:v>
      </x:c>
      <x:c r="C5" s="27" t="str">
        <x:v>$F{company_name}</x:v>
      </x:c>
      <x:c r="D5" s="27" t="str">
        <x:v>row["company_name"]</x:v>
      </x:c>
      <x:c r="E5" s="27" t="str">
        <x:v>string</x:v>
      </x:c>
      <x:c r="F5" s="36" t="str">
        <x:v>Demo Moliya MChJ</x:v>
      </x:c>
      <x:c r="G5" s="27" t="str">
        <x:v>text</x:v>
      </x:c>
      <x:c r="H5" s="27" t="str">
        <x:v>Report header</x:v>
      </x:c>
    </x:row>
    <x:row r="6">
      <x:c r="A6" s="27" t="str">
        <x:v>reporting_period</x:v>
      </x:c>
      <x:c r="B6" s="27" t="str">
        <x:v>Hisobot davri</x:v>
      </x:c>
      <x:c r="C6" s="27" t="str">
        <x:v>$F{reporting_period}</x:v>
      </x:c>
      <x:c r="D6" s="27" t="str">
        <x:v>row["reporting_period"]</x:v>
      </x:c>
      <x:c r="E6" s="27" t="str">
        <x:v>string</x:v>
      </x:c>
      <x:c r="F6" s="36" t="str">
        <x:v>FY-2025</x:v>
      </x:c>
      <x:c r="G6" s="27" t="str">
        <x:v>text</x:v>
      </x:c>
      <x:c r="H6" s="27" t="str">
        <x:v>Report header period</x:v>
      </x:c>
    </x:row>
    <x:row r="7">
      <x:c r="A7" s="27" t="str">
        <x:v>revenue_total</x:v>
      </x:c>
      <x:c r="B7" s="27" t="str">
        <x:v>Jami tushum</x:v>
      </x:c>
      <x:c r="C7" s="27" t="str">
        <x:v>$F{revenue_total}</x:v>
      </x:c>
      <x:c r="D7" s="27" t="str">
        <x:v>row["revenue_total"]</x:v>
      </x:c>
      <x:c r="E7" s="27" t="str">
        <x:v>decimal</x:v>
      </x:c>
      <x:c r="F7" s="36" t="n">
        <x:v>12430</x:v>
      </x:c>
      <x:c r="G7" s="27" t="str">
        <x:v>#,##0</x:v>
      </x:c>
      <x:c r="H7" s="27" t="str">
        <x:v>Latest REV_TOTAL from Attribute_History</x:v>
      </x:c>
    </x:row>
    <x:row r="8">
      <x:c r="A8" s="27" t="str">
        <x:v>cogs_total</x:v>
      </x:c>
      <x:c r="B8" s="27" t="str">
        <x:v>Jami tannarx</x:v>
      </x:c>
      <x:c r="C8" s="27" t="str">
        <x:v>$F{cogs_total}</x:v>
      </x:c>
      <x:c r="D8" s="27" t="str">
        <x:v>row["cogs_total"]</x:v>
      </x:c>
      <x:c r="E8" s="27" t="str">
        <x:v>decimal</x:v>
      </x:c>
      <x:c r="F8" s="36" t="n">
        <x:v>-6316</x:v>
      </x:c>
      <x:c r="G8" s="27" t="str">
        <x:v>#,##0;(#,##0)</x:v>
      </x:c>
      <x:c r="H8" s="27" t="str">
        <x:v>Latest COGS_TOTAL from Attribute_History</x:v>
      </x:c>
    </x:row>
    <x:row r="9">
      <x:c r="A9" s="27" t="str">
        <x:v>gross_profit</x:v>
      </x:c>
      <x:c r="B9" s="27" t="str">
        <x:v>Yalpi foyda</x:v>
      </x:c>
      <x:c r="C9" s="27" t="str">
        <x:v>$F{gross_profit}</x:v>
      </x:c>
      <x:c r="D9" s="27" t="str">
        <x:v>row["gross_profit"]</x:v>
      </x:c>
      <x:c r="E9" s="27" t="str">
        <x:v>decimal</x:v>
      </x:c>
      <x:c r="F9" s="36" t="n">
        <x:v>6114</x:v>
      </x:c>
      <x:c r="G9" s="27" t="str">
        <x:v>#,##0</x:v>
      </x:c>
      <x:c r="H9" s="27" t="str">
        <x:v>Derived test KPI</x:v>
      </x:c>
    </x:row>
    <x:row r="10">
      <x:c r="A10" s="27" t="str">
        <x:v>ebitda</x:v>
      </x:c>
      <x:c r="B10" s="27" t="str">
        <x:v>EBITDA</x:v>
      </x:c>
      <x:c r="C10" s="27" t="str">
        <x:v>$F{ebitda}</x:v>
      </x:c>
      <x:c r="D10" s="27" t="str">
        <x:v>row["ebitda"]</x:v>
      </x:c>
      <x:c r="E10" s="27" t="str">
        <x:v>decimal</x:v>
      </x:c>
      <x:c r="F10" s="36" t="n">
        <x:v>3582</x:v>
      </x:c>
      <x:c r="G10" s="27" t="str">
        <x:v>#,##0</x:v>
      </x:c>
      <x:c r="H10" s="27" t="str">
        <x:v>Latest EBITDA from Attribute_History</x:v>
      </x:c>
    </x:row>
    <x:row r="11">
      <x:c r="A11" s="27" t="str">
        <x:v>net_profit</x:v>
      </x:c>
      <x:c r="B11" s="27" t="str">
        <x:v>Sof foyda</x:v>
      </x:c>
      <x:c r="C11" s="27" t="str">
        <x:v>$F{net_profit}</x:v>
      </x:c>
      <x:c r="D11" s="27" t="str">
        <x:v>row["net_profit"]</x:v>
      </x:c>
      <x:c r="E11" s="27" t="str">
        <x:v>decimal</x:v>
      </x:c>
      <x:c r="F11" s="36" t="n">
        <x:v>2381</x:v>
      </x:c>
      <x:c r="G11" s="27" t="str">
        <x:v>#,##0</x:v>
      </x:c>
      <x:c r="H11" s="27" t="str">
        <x:v>Latest NET_PROFIT from Attribute_History</x:v>
      </x:c>
    </x:row>
    <x:row r="12">
      <x:c r="A12" s="27" t="str">
        <x:v>cash</x:v>
      </x:c>
      <x:c r="B12" s="27" t="str">
        <x:v>Pul mablag'lari</x:v>
      </x:c>
      <x:c r="C12" s="27" t="str">
        <x:v>$F{cash}</x:v>
      </x:c>
      <x:c r="D12" s="27" t="str">
        <x:v>row["cash"]</x:v>
      </x:c>
      <x:c r="E12" s="27" t="str">
        <x:v>decimal</x:v>
      </x:c>
      <x:c r="F12" s="36" t="n">
        <x:v>1245</x:v>
      </x:c>
      <x:c r="G12" s="27" t="str">
        <x:v>#,##0</x:v>
      </x:c>
      <x:c r="H12" s="27" t="str">
        <x:v>Latest CASH from Attribute_History</x:v>
      </x:c>
    </x:row>
    <x:row r="13">
      <x:c r="A13" s="27" t="str">
        <x:v>total_assets</x:v>
      </x:c>
      <x:c r="B13" s="27" t="str">
        <x:v>Jami aktivlar</x:v>
      </x:c>
      <x:c r="C13" s="27" t="str">
        <x:v>$F{total_assets}</x:v>
      </x:c>
      <x:c r="D13" s="27" t="str">
        <x:v>row["total_assets"]</x:v>
      </x:c>
      <x:c r="E13" s="27" t="str">
        <x:v>decimal</x:v>
      </x:c>
      <x:c r="F13" s="36" t="n">
        <x:v>7835</x:v>
      </x:c>
      <x:c r="G13" s="27" t="str">
        <x:v>#,##0</x:v>
      </x:c>
      <x:c r="H13" s="27" t="str">
        <x:v>Latest TOTAL_ASSETS from Attribute_History</x:v>
      </x:c>
    </x:row>
    <x:row r="14">
      <x:c r="A14" s="27" t="str">
        <x:v>total_liabilities</x:v>
      </x:c>
      <x:c r="B14" s="27" t="str">
        <x:v>Jami majburiyatlar</x:v>
      </x:c>
      <x:c r="C14" s="27" t="str">
        <x:v>$F{total_liabilities}</x:v>
      </x:c>
      <x:c r="D14" s="27" t="str">
        <x:v>row["total_liabilities"]</x:v>
      </x:c>
      <x:c r="E14" s="27" t="str">
        <x:v>decimal</x:v>
      </x:c>
      <x:c r="F14" s="36" t="n">
        <x:v>2510</x:v>
      </x:c>
      <x:c r="G14" s="27" t="str">
        <x:v>#,##0</x:v>
      </x:c>
      <x:c r="H14" s="27" t="str">
        <x:v>Latest TOTAL_LIABILITIES from Attribute_History</x:v>
      </x:c>
    </x:row>
    <x:row r="15">
      <x:c r="A15" s="27" t="str">
        <x:v>total_equity</x:v>
      </x:c>
      <x:c r="B15" s="27" t="str">
        <x:v>Jami kapital</x:v>
      </x:c>
      <x:c r="C15" s="27" t="str">
        <x:v>$F{total_equity}</x:v>
      </x:c>
      <x:c r="D15" s="27" t="str">
        <x:v>row["total_equity"]</x:v>
      </x:c>
      <x:c r="E15" s="27" t="str">
        <x:v>decimal</x:v>
      </x:c>
      <x:c r="F15" s="36" t="n">
        <x:v>5325</x:v>
      </x:c>
      <x:c r="G15" s="27" t="str">
        <x:v>#,##0</x:v>
      </x:c>
      <x:c r="H15" s="27" t="str">
        <x:v>Latest TOTAL_EQUITY from Attribute_History</x:v>
      </x:c>
    </x:row>
    <x:row r="16">
      <x:c r="F16" s="50"/>
    </x:row>
    <x:row r="17">
      <x:c r="F17" s="50"/>
    </x:row>
    <x:row r="18">
      <x:c r="F18" s="50"/>
    </x:row>
    <x:row r="19">
      <x:c r="F19" s="50"/>
    </x:row>
    <x:row r="20">
      <x:c r="F20" s="50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22" hidden="0" customWidth="1"/>
    <x:col min="5" max="5" width="18" hidden="0" customWidth="1"/>
    <x:col min="6" max="6" width="22" hidden="0" customWidth="1"/>
    <x:col min="7" max="7" width="12" hidden="0" customWidth="1"/>
    <x:col min="8" max="8" width="42" hidden="0" customWidth="1"/>
  </x:cols>
  <x:sheetData>
    <x:row r="1" ht="30" customHeight="1">
      <x:c r="A1" s="10" t="str">
        <x:v>Expected Current Values — For Automated Test Assertions</x:v>
      </x:c>
      <x:c r="B1" s="10"/>
      <x:c r="C1" s="10"/>
      <x:c r="D1" s="34"/>
      <x:c r="E1" s="10"/>
      <x:c r="F1" s="10"/>
      <x:c r="G1" s="10"/>
      <x:c r="H1" s="10"/>
    </x:row>
    <x:row r="4" ht="22" customHeight="1">
      <x:c r="A4" s="20" t="str">
        <x:v>assertion_id</x:v>
      </x:c>
      <x:c r="B4" s="20" t="str">
        <x:v>attribute_code</x:v>
      </x:c>
      <x:c r="C4" s="20" t="str">
        <x:v>period</x:v>
      </x:c>
      <x:c r="D4" s="20" t="str">
        <x:v>expected_latest_value</x:v>
      </x:c>
      <x:c r="E4" s="20" t="str">
        <x:v>expected_version_no</x:v>
      </x:c>
      <x:c r="F4" s="20" t="str">
        <x:v>expected_source_sheet</x:v>
      </x:c>
      <x:c r="G4" s="20" t="str">
        <x:v>use_in_pdf</x:v>
      </x:c>
      <x:c r="H4" s="20" t="str">
        <x:v>test_note</x:v>
      </x:c>
    </x:row>
    <x:row r="5">
      <x:c r="A5" s="27" t="str">
        <x:v>A-001</x:v>
      </x:c>
      <x:c r="B5" s="27" t="str">
        <x:v>REV_TOTAL</x:v>
      </x:c>
      <x:c r="C5" s="27" t="str">
        <x:v>FY-2025</x:v>
      </x:c>
      <x:c r="D5" s="27" t="n">
        <x:v>12430</x:v>
      </x:c>
      <x:c r="E5" s="27" t="n">
        <x:v>2</x:v>
      </x:c>
      <x:c r="F5" s="27" t="str">
        <x:v>Attribute_History</x:v>
      </x:c>
      <x:c r="G5" s="61" t="b">
        <x:v>1</x:v>
      </x:c>
      <x:c r="H5" s="27" t="str">
        <x:v>PDF should use v2, not v1</x:v>
      </x:c>
    </x:row>
    <x:row r="6">
      <x:c r="A6" s="27" t="str">
        <x:v>A-002</x:v>
      </x:c>
      <x:c r="B6" s="27" t="str">
        <x:v>COGS_TOTAL</x:v>
      </x:c>
      <x:c r="C6" s="27" t="str">
        <x:v>FY-2025</x:v>
      </x:c>
      <x:c r="D6" s="27" t="n">
        <x:v>-6316</x:v>
      </x:c>
      <x:c r="E6" s="27" t="n">
        <x:v>2</x:v>
      </x:c>
      <x:c r="F6" s="27" t="str">
        <x:v>Attribute_History</x:v>
      </x:c>
      <x:c r="G6" s="61" t="b">
        <x:v>1</x:v>
      </x:c>
      <x:c r="H6" s="27" t="str">
        <x:v>Latest cost correction</x:v>
      </x:c>
    </x:row>
    <x:row r="7">
      <x:c r="A7" s="27" t="str">
        <x:v>A-003</x:v>
      </x:c>
      <x:c r="B7" s="27" t="str">
        <x:v>EBITDA</x:v>
      </x:c>
      <x:c r="C7" s="27" t="str">
        <x:v>FY-2025</x:v>
      </x:c>
      <x:c r="D7" s="27" t="n">
        <x:v>3582</x:v>
      </x:c>
      <x:c r="E7" s="27" t="n">
        <x:v>2</x:v>
      </x:c>
      <x:c r="F7" s="27" t="str">
        <x:v>Attribute_History</x:v>
      </x:c>
      <x:c r="G7" s="61" t="b">
        <x:v>1</x:v>
      </x:c>
      <x:c r="H7" s="27" t="str">
        <x:v>Recalculated KPI</x:v>
      </x:c>
    </x:row>
    <x:row r="8">
      <x:c r="A8" s="27" t="str">
        <x:v>A-004</x:v>
      </x:c>
      <x:c r="B8" s="27" t="str">
        <x:v>NET_PROFIT</x:v>
      </x:c>
      <x:c r="C8" s="27" t="str">
        <x:v>FY-2025</x:v>
      </x:c>
      <x:c r="D8" s="27" t="n">
        <x:v>2381</x:v>
      </x:c>
      <x:c r="E8" s="27" t="n">
        <x:v>2</x:v>
      </x:c>
      <x:c r="F8" s="27" t="str">
        <x:v>Attribute_History</x:v>
      </x:c>
      <x:c r="G8" s="61" t="b">
        <x:v>1</x:v>
      </x:c>
      <x:c r="H8" s="27" t="str">
        <x:v>Latest after tax review</x:v>
      </x:c>
    </x:row>
    <x:row r="9">
      <x:c r="A9" s="27" t="str">
        <x:v>A-005</x:v>
      </x:c>
      <x:c r="B9" s="27" t="str">
        <x:v>CASH</x:v>
      </x:c>
      <x:c r="C9" s="27" t="str">
        <x:v>FY-2025</x:v>
      </x:c>
      <x:c r="D9" s="27" t="n">
        <x:v>1245</x:v>
      </x:c>
      <x:c r="E9" s="27" t="n">
        <x:v>2</x:v>
      </x:c>
      <x:c r="F9" s="27" t="str">
        <x:v>Attribute_History</x:v>
      </x:c>
      <x:c r="G9" s="61" t="b">
        <x:v>1</x:v>
      </x:c>
      <x:c r="H9" s="27" t="str">
        <x:v>Bank reconciliation latest value</x:v>
      </x:c>
    </x:row>
    <x:row r="10">
      <x:c r="A10" s="27" t="str">
        <x:v>A-006</x:v>
      </x:c>
      <x:c r="B10" s="27" t="str">
        <x:v>TOTAL_ASSETS</x:v>
      </x:c>
      <x:c r="C10" s="27" t="str">
        <x:v>FY-2025</x:v>
      </x:c>
      <x:c r="D10" s="27" t="n">
        <x:v>7835</x:v>
      </x:c>
      <x:c r="E10" s="27" t="n">
        <x:v>2</x:v>
      </x:c>
      <x:c r="F10" s="27" t="str">
        <x:v>Attribute_History</x:v>
      </x:c>
      <x:c r="G10" s="61" t="b">
        <x:v>1</x:v>
      </x:c>
      <x:c r="H10" s="27" t="str">
        <x:v>Balance sheet latest value</x:v>
      </x:c>
    </x:row>
    <x:row r="11">
      <x:c r="A11" s="27" t="str">
        <x:v>A-007</x:v>
      </x:c>
      <x:c r="B11" s="27" t="str">
        <x:v>TOTAL_LIABILITIES</x:v>
      </x:c>
      <x:c r="C11" s="27" t="str">
        <x:v>FY-2025</x:v>
      </x:c>
      <x:c r="D11" s="27" t="n">
        <x:v>2510</x:v>
      </x:c>
      <x:c r="E11" s="27" t="n">
        <x:v>2</x:v>
      </x:c>
      <x:c r="F11" s="27" t="str">
        <x:v>Attribute_History</x:v>
      </x:c>
      <x:c r="G11" s="61" t="b">
        <x:v>1</x:v>
      </x:c>
      <x:c r="H11" s="27" t="str">
        <x:v>Liability latest value</x:v>
      </x:c>
    </x:row>
    <x:row r="12">
      <x:c r="A12" s="27" t="str">
        <x:v>A-008</x:v>
      </x:c>
      <x:c r="B12" s="27" t="str">
        <x:v>TOTAL_EQUITY</x:v>
      </x:c>
      <x:c r="C12" s="27" t="str">
        <x:v>FY-2025</x:v>
      </x:c>
      <x:c r="D12" s="27" t="n">
        <x:v>5325</x:v>
      </x:c>
      <x:c r="E12" s="27" t="n">
        <x:v>2</x:v>
      </x:c>
      <x:c r="F12" s="27" t="str">
        <x:v>Attribute_History</x:v>
      </x:c>
      <x:c r="G12" s="61" t="b">
        <x:v>1</x:v>
      </x:c>
      <x:c r="H12" s="27" t="str">
        <x:v>Equity latest value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22" hidden="0" customWidth="1"/>
    <x:col min="7" max="7" width="10" hidden="0" customWidth="1"/>
    <x:col min="8" max="8" width="10" hidden="0" customWidth="1"/>
    <x:col min="9" max="9" width="32" hidden="0" customWidth="1"/>
    <x:col min="10" max="10" width="32" hidden="0" customWidth="1"/>
  </x:cols>
  <x:sheetData>
    <x:row r="1" ht="30" customHeight="1">
      <x:c r="A1" s="10" t="str">
        <x:v>Dirty / Flexible Excel Structure Edge Cases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3" ht="22" customHeight="1">
      <x:c r="A3" s="66" t="str">
        <x:v>This sheet intentionally contains awkward structures to test robust ingestion.</x:v>
      </x:c>
      <x:c r="B3" s="66"/>
      <x:c r="C3" s="66"/>
      <x:c r="D3" s="66"/>
      <x:c r="E3" s="66"/>
      <x:c r="F3" s="66"/>
      <x:c r="G3" s="66"/>
      <x:c r="H3" s="66"/>
      <x:c r="I3" s="66"/>
      <x:c r="J3" s="66"/>
    </x:row>
    <x:row r="4" ht="22" customHeight="1"/>
    <x:row r="5">
      <x:c r="A5" t="str">
        <x:v>Prepared by</x:v>
      </x:c>
      <x:c r="B5" t="str">
        <x:v>manual-finance-user</x:v>
      </x:c>
      <x:c r="D5" t="str">
        <x:v>Date text</x:v>
      </x:c>
      <x:c r="E5" t="str">
        <x:v>31.12.2025</x:v>
      </x:c>
    </x:row>
    <x:row r="7">
      <x:c r="A7" s="20" t="str">
        <x:v>row_type</x:v>
      </x:c>
      <x:c r="B7" s="20" t="str">
        <x:v>attribute_code</x:v>
      </x:c>
      <x:c r="C7" s="20" t="str">
        <x:v>attribute_label</x:v>
      </x:c>
      <x:c r="D7" s="20" t="str">
        <x:v>period_raw</x:v>
      </x:c>
      <x:c r="E7" s="20" t="str">
        <x:v>value_raw</x:v>
      </x:c>
      <x:c r="F7" s="20" t="str">
        <x:v>value_interpreted_hint</x:v>
      </x:c>
      <x:c r="G7" s="20" t="str">
        <x:v>currency</x:v>
      </x:c>
      <x:c r="H7" s="20" t="str">
        <x:v>unit</x:v>
      </x:c>
      <x:c r="I7" s="20" t="str">
        <x:v>notes</x:v>
      </x:c>
      <x:c r="J7" s="20" t="str">
        <x:v>parser_expectation</x:v>
      </x:c>
    </x:row>
    <x:row r="8">
      <x:c r="A8" s="27" t="str">
        <x:v>data</x:v>
      </x:c>
      <x:c r="B8" s="27" t="str">
        <x:v>REV_TOTAL</x:v>
      </x:c>
      <x:c r="C8" s="27" t="str">
        <x:v>Jami tushum</x:v>
      </x:c>
      <x:c r="D8" s="27" t="str">
        <x:v>2025 FY</x:v>
      </x:c>
      <x:c r="E8" s="27" t="str">
        <x:v>12 430</x:v>
      </x:c>
      <x:c r="F8" s="27" t="str">
        <x:v>12430</x:v>
      </x:c>
      <x:c r="G8" s="27" t="str">
        <x:v>UZS</x:v>
      </x:c>
      <x:c r="H8" s="27" t="str">
        <x:v>million</x:v>
      </x:c>
      <x:c r="I8" s="27" t="str">
        <x:v>Space thousand separator</x:v>
      </x:c>
      <x:c r="J8" s="27" t="str">
        <x:v>Parse numeric text</x:v>
      </x:c>
    </x:row>
    <x:row r="9">
      <x:c r="A9" s="27" t="str">
        <x:v>data</x:v>
      </x:c>
      <x:c r="B9" s="27" t="str">
        <x:v>REV_TOTAL</x:v>
      </x:c>
      <x:c r="C9" s="27" t="str">
        <x:v>Jami tushum duplicate label</x:v>
      </x:c>
      <x:c r="D9" s="27" t="str">
        <x:v>FY2025</x:v>
      </x:c>
      <x:c r="E9" s="27" t="str">
        <x:v>12,430.00</x:v>
      </x:c>
      <x:c r="F9" s="27" t="str">
        <x:v>12430</x:v>
      </x:c>
      <x:c r="G9" s="27" t="str">
        <x:v>UZS</x:v>
      </x:c>
      <x:c r="H9" s="27" t="str">
        <x:v>million</x:v>
      </x:c>
      <x:c r="I9" s="27" t="str">
        <x:v>Duplicate code and different label</x:v>
      </x:c>
      <x:c r="J9" s="27" t="str">
        <x:v>Detect duplicate/same attribute</x:v>
      </x:c>
    </x:row>
    <x:row r="10">
      <x:c r="A10" s="27" t="str">
        <x:v>data</x:v>
      </x:c>
      <x:c r="B10" s="27" t="str">
        <x:v>COGS_TOTAL</x:v>
      </x:c>
      <x:c r="C10" s="27" t="str">
        <x:v>Jami tannarx</x:v>
      </x:c>
      <x:c r="D10" s="27" t="str">
        <x:v>2025</x:v>
      </x:c>
      <x:c r="E10" s="27" t="str">
        <x:v>(6 316)</x:v>
      </x:c>
      <x:c r="F10" s="27" t="str">
        <x:v>-6316</x:v>
      </x:c>
      <x:c r="G10" s="27" t="str">
        <x:v>UZS</x:v>
      </x:c>
      <x:c r="H10" s="27" t="str">
        <x:v>million</x:v>
      </x:c>
      <x:c r="I10" s="27" t="str">
        <x:v>Negative in parentheses</x:v>
      </x:c>
      <x:c r="J10" s="27" t="str">
        <x:v>Parse negative amount</x:v>
      </x:c>
    </x:row>
    <x:row r="11">
      <x:c r="A11" s="27" t="str">
        <x:v>data</x:v>
      </x:c>
      <x:c r="B11" s="27" t="str">
        <x:v>MARGIN_RATE</x:v>
      </x:c>
      <x:c r="C11" s="27" t="str">
        <x:v>Rentabellik</x:v>
      </x:c>
      <x:c r="D11" s="27" t="str">
        <x:v>31.12.2025</x:v>
      </x:c>
      <x:c r="E11" s="27" t="str">
        <x:v>28.8%</x:v>
      </x:c>
      <x:c r="F11" s="27" t="str">
        <x:v>0.288</x:v>
      </x:c>
      <x:c r="G11" s="27" t="str">
        <x:v>ratio</x:v>
      </x:c>
      <x:c r="H11" s="27" t="str">
        <x:v>percent</x:v>
      </x:c>
      <x:c r="I11" s="27" t="str">
        <x:v>Percentage string</x:v>
      </x:c>
      <x:c r="J11" s="27" t="str">
        <x:v>Parse percent</x:v>
      </x:c>
    </x:row>
    <x:row r="12">
      <x:c r="A12" s="27" t="str">
        <x:v>data</x:v>
      </x:c>
      <x:c r="B12" s="27" t="str">
        <x:v>BAD_NULL</x:v>
      </x:c>
      <x:c r="C12" s="27" t="str">
        <x:v>Bo'sh qiymat</x:v>
      </x:c>
      <x:c r="D12" s="27" t="str">
        <x:v>2025</x:v>
      </x:c>
      <x:c r="E12" s="27"/>
      <x:c r="F12" s="27"/>
      <x:c r="G12" s="27" t="str">
        <x:v>UZS</x:v>
      </x:c>
      <x:c r="H12" s="27" t="str">
        <x:v>million</x:v>
      </x:c>
      <x:c r="I12" s="27" t="str">
        <x:v>Blank value</x:v>
      </x:c>
      <x:c r="J12" s="27" t="str">
        <x:v>Store null and flag validation</x:v>
      </x:c>
    </x:row>
    <x:row r="13">
      <x:c r="A13" s="27" t="str">
        <x:v>data</x:v>
      </x:c>
      <x:c r="B13" s="27" t="str">
        <x:v>TEXT_NA</x:v>
      </x:c>
      <x:c r="C13" s="27" t="str">
        <x:v>Noma'lum qiymat</x:v>
      </x:c>
      <x:c r="D13" s="27" t="str">
        <x:v>2025</x:v>
      </x:c>
      <x:c r="E13" s="27" t="str">
        <x:v>N/A</x:v>
      </x:c>
      <x:c r="F13" s="27"/>
      <x:c r="G13" s="27" t="str">
        <x:v>UZS</x:v>
      </x:c>
      <x:c r="H13" s="27" t="str">
        <x:v>million</x:v>
      </x:c>
      <x:c r="I13" s="27" t="str">
        <x:v>Text not available</x:v>
      </x:c>
      <x:c r="J13" s="27" t="str">
        <x:v>Store as null/non-numeric</x:v>
      </x:c>
    </x:row>
    <x:row r="14">
      <x:c r="A14" s="70" t="str">
        <x:v>formula</x:v>
      </x:c>
      <x:c r="B14" s="70" t="str">
        <x:v>CHECK_TOTAL</x:v>
      </x:c>
      <x:c r="C14" s="70" t="str">
        <x:v>Formula cell</x:v>
      </x:c>
      <x:c r="D14" s="70" t="str">
        <x:v>2025</x:v>
      </x:c>
      <x:c r="E14" s="70" t="n">
        <x:f>SUM(E8:E9)</x:f>
        <x:v>0</x:v>
      </x:c>
      <x:c r="F14" s="70"/>
      <x:c r="G14" s="70" t="str">
        <x:v>UZS</x:v>
      </x:c>
      <x:c r="H14" s="70" t="str">
        <x:v>million</x:v>
      </x:c>
      <x:c r="I14" s="70" t="str">
        <x:v>Formula in raw value cell</x:v>
      </x:c>
      <x:c r="J14" s="70" t="str">
        <x:v>Read formula and/or calculated result</x:v>
      </x:c>
    </x:row>
    <x:row r="15">
      <x:c r="A15" s="27" t="str">
        <x:v>data</x:v>
      </x:c>
      <x:c r="B15" s="27"/>
      <x:c r="C15" s="27" t="str">
        <x:v>Missing attribute code</x:v>
      </x:c>
      <x:c r="D15" s="27" t="str">
        <x:v>2025</x:v>
      </x:c>
      <x:c r="E15" s="27" t="str">
        <x:v>555</x:v>
      </x:c>
      <x:c r="F15" s="27" t="str">
        <x:v>555</x:v>
      </x:c>
      <x:c r="G15" s="27" t="str">
        <x:v>UZS</x:v>
      </x:c>
      <x:c r="H15" s="27" t="str">
        <x:v>million</x:v>
      </x:c>
      <x:c r="I15" s="27" t="str">
        <x:v>Missing key</x:v>
      </x:c>
      <x:c r="J15" s="27" t="str">
        <x:v>Validation error expected</x:v>
      </x:c>
    </x:row>
    <x:row r="16">
      <x:c r="A16" s="27" t="str">
        <x:v>data</x:v>
      </x:c>
      <x:c r="B16" s="27" t="str">
        <x:v>UZ_CYR</x:v>
      </x:c>
      <x:c r="C16" s="27" t="str">
        <x:v>Кириллча сарлавҳа</x:v>
      </x:c>
      <x:c r="D16" s="27" t="str">
        <x:v>2025</x:v>
      </x:c>
      <x:c r="E16" s="27" t="str">
        <x:v>777</x:v>
      </x:c>
      <x:c r="F16" s="27" t="str">
        <x:v>777</x:v>
      </x:c>
      <x:c r="G16" s="27" t="str">
        <x:v>UZS</x:v>
      </x:c>
      <x:c r="H16" s="27" t="str">
        <x:v>million</x:v>
      </x:c>
      <x:c r="I16" s="27" t="str">
        <x:v>Cyrillic label</x:v>
      </x:c>
      <x:c r="J16" s="27" t="str">
        <x:v>Unicode support</x:v>
      </x:c>
    </x:row>
    <x:row r="17">
      <x:c r="A17" s="27" t="str">
        <x:v>data</x:v>
      </x:c>
      <x:c r="B17" s="27" t="str">
        <x:v>DATE_MIX</x:v>
      </x:c>
      <x:c r="C17" s="27" t="str">
        <x:v>Mixed date</x:v>
      </x:c>
      <x:c r="D17" s="27" t="str">
        <x:v>2025/12/31</x:v>
      </x:c>
      <x:c r="E17" s="27" t="str">
        <x:v>999</x:v>
      </x:c>
      <x:c r="F17" s="27" t="str">
        <x:v>999</x:v>
      </x:c>
      <x:c r="G17" s="27" t="str">
        <x:v>UZS</x:v>
      </x:c>
      <x:c r="H17" s="27" t="str">
        <x:v>million</x:v>
      </x:c>
      <x:c r="I17" s="27" t="str">
        <x:v>Slash date</x:v>
      </x:c>
      <x:c r="J17" s="27" t="str">
        <x:v>Normalize date</x:v>
      </x:c>
    </x:row>
  </x:sheetData>
  <x:mergeCells>
    <x:mergeCell ref="A1:J1"/>
    <x:mergeCell ref="A3:J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10" t="str">
        <x:v>QA Dashboard — Test Coverage Summary</x:v>
      </x:c>
      <x:c r="B1" s="10"/>
      <x:c r="C1" s="10"/>
      <x:c r="D1" s="10"/>
      <x:c r="E1" s="10"/>
      <x:c r="F1" s="10"/>
      <x:c r="G1" s="10"/>
      <x:c r="H1" s="10"/>
      <x:c r="I1" s="10"/>
    </x:row>
    <x:row r="4" ht="22" customHeight="1">
      <x:c r="A4" s="17" t="str">
        <x:v>Test area</x:v>
      </x:c>
      <x:c r="B4" s="17" t="str">
        <x:v>Workbook evidence</x:v>
      </x:c>
      <x:c r="C4" s="17" t="str">
        <x:v>Expected platform behavior</x:v>
      </x:c>
    </x:row>
    <x:row r="5">
      <x:c r="A5" s="72" t="str">
        <x:v>Excel upload</x:v>
      </x:c>
      <x:c r="B5" s="72" t="str">
        <x:v>9 sheets with multiple layouts</x:v>
      </x:c>
      <x:c r="C5" s="72" t="str">
        <x:v>Accept workbook and create upload batch</x:v>
      </x:c>
    </x:row>
    <x:row r="6">
      <x:c r="A6" s="72" t="str">
        <x:v>ETL parser</x:v>
      </x:c>
      <x:c r="B6" s="72" t="str">
        <x:v>GL_Long, PnL_Wide_Monthly, BS_MergedHeaders, Dirty_Edge_Cases</x:v>
      </x:c>
      <x:c r="C6" s="72" t="str">
        <x:v>Extract attributes despite long/wide/merged/dirty structure</x:v>
      </x:c>
    </x:row>
    <x:row r="7">
      <x:c r="A7" s="72" t="str">
        <x:v>Version history</x:v>
      </x:c>
      <x:c r="B7" s="72" t="str">
        <x:v>Attribute_History</x:v>
      </x:c>
      <x:c r="C7" s="72" t="str">
        <x:v>Store full history by attribute_code + period + version_no</x:v>
      </x:c>
    </x:row>
    <x:row r="8">
      <x:c r="A8" s="72" t="str">
        <x:v>Current-value rule</x:v>
      </x:c>
      <x:c r="B8" s="72" t="str">
        <x:v>Expected_Current</x:v>
      </x:c>
      <x:c r="C8" s="72" t="str">
        <x:v>Use is_current=True / max version for report fields</x:v>
      </x:c>
    </x:row>
    <x:row r="9">
      <x:c r="A9" s="72" t="str">
        <x:v>Template designer</x:v>
      </x:c>
      <x:c r="B9" s="72" t="str">
        <x:v>Template_Palette</x:v>
      </x:c>
      <x:c r="C9" s="72" t="str">
        <x:v>Expose palette keys for Jasper/BIRT style templates</x:v>
      </x:c>
    </x:row>
    <x:row r="10">
      <x:c r="A10" s="72" t="str">
        <x:v>PDF generation</x:v>
      </x:c>
      <x:c r="B10" s="72" t="str">
        <x:v>Template_Palette + Expected_Current</x:v>
      </x:c>
      <x:c r="C10" s="72" t="str">
        <x:v>Render latest values into PDF report output</x:v>
      </x:c>
    </x:row>
    <x:row r="13" ht="22" customHeight="1">
      <x:c r="A13" s="40" t="str">
        <x:v>Key current values expected in PDF</x:v>
      </x:c>
      <x:c r="B13" s="40"/>
      <x:c r="C13" s="40"/>
      <x:c r="D13" s="40"/>
      <x:c r="E13" s="40"/>
      <x:c r="F13" s="40"/>
      <x:c r="G13" s="40"/>
      <x:c r="H13" s="40"/>
      <x:c r="I13" s="40"/>
    </x:row>
    <x:row r="15">
      <x:c r="A15" s="20" t="str">
        <x:v>Field</x:v>
      </x:c>
      <x:c r="B15" s="20" t="str">
        <x:v>Latest value</x:v>
      </x:c>
      <x:c r="C15" s="20" t="str">
        <x:v>Unit</x:v>
      </x:c>
      <x:c r="D15" s="20" t="str">
        <x:v>Source</x:v>
      </x:c>
      <x:c r="E15" s="20" t="str">
        <x:v>Version</x:v>
      </x:c>
    </x:row>
    <x:row r="16">
      <x:c r="A16" s="27" t="str">
        <x:v>revenue_total</x:v>
      </x:c>
      <x:c r="B16" s="36" t="n">
        <x:v>12430</x:v>
      </x:c>
      <x:c r="C16" s="27" t="str">
        <x:v>UZS million</x:v>
      </x:c>
      <x:c r="D16" s="27" t="str">
        <x:v>Attribute_History</x:v>
      </x:c>
      <x:c r="E16" s="27" t="n">
        <x:v>2</x:v>
      </x:c>
    </x:row>
    <x:row r="17">
      <x:c r="A17" s="27" t="str">
        <x:v>cogs_total</x:v>
      </x:c>
      <x:c r="B17" s="36" t="n">
        <x:v>-6316</x:v>
      </x:c>
      <x:c r="C17" s="27" t="str">
        <x:v>UZS million</x:v>
      </x:c>
      <x:c r="D17" s="27" t="str">
        <x:v>Attribute_History</x:v>
      </x:c>
      <x:c r="E17" s="27" t="n">
        <x:v>2</x:v>
      </x:c>
    </x:row>
    <x:row r="18">
      <x:c r="A18" s="27" t="str">
        <x:v>ebitda</x:v>
      </x:c>
      <x:c r="B18" s="36" t="n">
        <x:v>3582</x:v>
      </x:c>
      <x:c r="C18" s="27" t="str">
        <x:v>UZS million</x:v>
      </x:c>
      <x:c r="D18" s="27" t="str">
        <x:v>Attribute_History</x:v>
      </x:c>
      <x:c r="E18" s="27" t="n">
        <x:v>2</x:v>
      </x:c>
    </x:row>
    <x:row r="19">
      <x:c r="A19" s="27" t="str">
        <x:v>net_profit</x:v>
      </x:c>
      <x:c r="B19" s="36" t="n">
        <x:v>2381</x:v>
      </x:c>
      <x:c r="C19" s="27" t="str">
        <x:v>UZS million</x:v>
      </x:c>
      <x:c r="D19" s="27" t="str">
        <x:v>Attribute_History</x:v>
      </x:c>
      <x:c r="E19" s="27" t="n">
        <x:v>2</x:v>
      </x:c>
    </x:row>
    <x:row r="20">
      <x:c r="A20" s="27" t="str">
        <x:v>cash</x:v>
      </x:c>
      <x:c r="B20" s="36" t="n">
        <x:v>1245</x:v>
      </x:c>
      <x:c r="C20" s="27" t="str">
        <x:v>UZS million</x:v>
      </x:c>
      <x:c r="D20" s="27" t="str">
        <x:v>Attribute_History</x:v>
      </x:c>
      <x:c r="E20" s="27" t="n">
        <x:v>2</x:v>
      </x:c>
    </x:row>
    <x:row r="21">
      <x:c r="A21" s="27" t="str">
        <x:v>total_assets</x:v>
      </x:c>
      <x:c r="B21" s="36" t="n">
        <x:v>7835</x:v>
      </x:c>
      <x:c r="C21" s="27" t="str">
        <x:v>UZS million</x:v>
      </x:c>
      <x:c r="D21" s="27" t="str">
        <x:v>Attribute_History</x:v>
      </x:c>
      <x:c r="E21" s="27" t="n">
        <x:v>2</x:v>
      </x:c>
    </x:row>
  </x:sheetData>
  <x:mergeCells>
    <x:mergeCell ref="A1:I1"/>
    <x:mergeCell ref="A13:I13"/>
  </x:mergeCells>
  <x:conditionalFormatting sqref="B16:B21">
    <x:cfRule type="cellIs" dxfId="2" priority="1" operator="lessThan">
      <x:formula>0</x:formula>
    </x:cfRule>
  </x:conditionalFormatting>
  <x:pageMargins left="0.7" right="0.7" top="0.75" bottom="0.75" header="0.3" footer="0.3"/>
</x:worksheet>
</file>